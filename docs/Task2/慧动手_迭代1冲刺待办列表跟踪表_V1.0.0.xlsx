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版本信息" sheetId="1" r:id="rId1"/>
    <sheet name="冲刺待办列表" sheetId="2" r:id="rId2"/>
    <sheet name="交付物清单" sheetId="3" r:id="rId3"/>
    <sheet name="进度统计看板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<sst xmlns="http://schemas.openxmlformats.org/spreadsheetml/2006/main" count="890" uniqueCount="433">
  <si>
    <t>慧动手迭代1冲刺待办列表跟踪表</t>
  </si>
  <si>
    <t>项目：基于手势识别的工厂员工虚拟仿真培训平台 | 迭代周期：3天 | 文档版本：V1.0.0</t>
  </si>
  <si>
    <t>版本</t>
  </si>
  <si>
    <t>日期</t>
  </si>
  <si>
    <t>更新人员</t>
  </si>
  <si>
    <t>更新类型</t>
  </si>
  <si>
    <t>更新内容说明</t>
  </si>
  <si>
    <t>更新范围</t>
  </si>
  <si>
    <t>联动变更文档</t>
  </si>
  <si>
    <t>审核人员</t>
  </si>
  <si>
    <t>备注</t>
  </si>
  <si>
    <t>适用迭代</t>
  </si>
  <si>
    <t>V1.0.0</t>
  </si>
  <si>
    <t>申忠佩</t>
  </si>
  <si>
    <t>初始化</t>
  </si>
  <si>
    <t>创建慧动手迭代一冲刺待办列表、交付物清单与进度统计看板</t>
  </si>
  <si>
    <t>全工作簿</t>
  </si>
  <si>
    <t>迭代1冲刺计划会议纪要、用户故事文档、项目报告</t>
  </si>
  <si>
    <t>张云焯</t>
  </si>
  <si>
    <t>课堂提交版</t>
  </si>
  <si>
    <t>迭代一</t>
  </si>
  <si>
    <t>V1.0.1</t>
  </si>
  <si>
    <t>李昊璇</t>
  </si>
  <si>
    <t>预留</t>
  </si>
  <si>
    <t>根据每日站会和最终评审结果更新状态</t>
  </si>
  <si>
    <t>冲刺待办列表、交付物清单</t>
  </si>
  <si>
    <t>测试用例与问题清单</t>
  </si>
  <si>
    <t>陈俊福</t>
  </si>
  <si>
    <t>后续可维护</t>
  </si>
  <si>
    <t>V1.1.0</t>
  </si>
  <si>
    <t>张哲源</t>
  </si>
  <si>
    <t>迭代二开始前，冻结迭代一归档状态</t>
  </si>
  <si>
    <t>全部</t>
  </si>
  <si>
    <t>迭代一评审记录</t>
  </si>
  <si>
    <t>归档版本</t>
  </si>
  <si>
    <t>说明：本文件用于跟踪慧动手项目迭代一（基础手势实现与工厂场景搭建）的冲刺待办、交付物、状态统计与验收情况。</t>
  </si>
  <si>
    <t>迭代一冲刺待办列表</t>
  </si>
  <si>
    <t>目标：打通 Python 手势识别 - Unity 实时交互 - 工厂训练场景的可演示闭环</t>
  </si>
  <si>
    <t>待办项ID</t>
  </si>
  <si>
    <t>待办项名称</t>
  </si>
  <si>
    <t>所属模块</t>
  </si>
  <si>
    <t>关联用户故事</t>
  </si>
  <si>
    <t>优先级</t>
  </si>
  <si>
    <t>MoSCoW</t>
  </si>
  <si>
    <t>故事点</t>
  </si>
  <si>
    <t>责任人</t>
  </si>
  <si>
    <t>协作人员</t>
  </si>
  <si>
    <t>计划完成时间</t>
  </si>
  <si>
    <t>实际完成时间</t>
  </si>
  <si>
    <t>当前状态</t>
  </si>
  <si>
    <t>完成度</t>
  </si>
  <si>
    <t>验收标准要点</t>
  </si>
  <si>
    <t>关联交付物ID</t>
  </si>
  <si>
    <t>主要风险/依赖</t>
  </si>
  <si>
    <t>是否纳入迭代一验收</t>
  </si>
  <si>
    <t>PB-GR-001</t>
  </si>
  <si>
    <t>Python 摄像头采集与 MediaPipe 手部识别接入</t>
  </si>
  <si>
    <t>手势识别服务</t>
  </si>
  <si>
    <t>US-GR-01</t>
  </si>
  <si>
    <t>高</t>
  </si>
  <si>
    <t>Must</t>
  </si>
  <si>
    <t>夏思羿</t>
  </si>
  <si>
    <t>刘家伟</t>
  </si>
  <si>
    <t>验收通过</t>
  </si>
  <si>
    <t>1. 可调用本机摄像头；2. 能输出 21 个手部关键点；3. 识别延迟满足演示要求；4. 异常时有提示信息</t>
  </si>
  <si>
    <t>D-F-001;D-C-001</t>
  </si>
  <si>
    <t>MediaPipe 模型依赖、摄像头权限</t>
  </si>
  <si>
    <t>已完成基础链路，后续继续优化识别稳定性</t>
  </si>
  <si>
    <t>是</t>
  </si>
  <si>
    <t>PB-COM-002</t>
  </si>
  <si>
    <t>Unity 与 Python WebSocket 手势数据通信</t>
  </si>
  <si>
    <t>通信与数据链路</t>
  </si>
  <si>
    <t>US-SYS-01</t>
  </si>
  <si>
    <t>夏思羿、申忠佩</t>
  </si>
  <si>
    <t>1. Python 服务监听端口正常；2. Unity 可实时接收手部坐标；3. 包含捏合、点击、旋转等状态字段；4. 断连后可重新启动恢复</t>
  </si>
  <si>
    <t>D-F-002;D-C-002</t>
  </si>
  <si>
    <t>端口占用、网络阻塞、字段不一致</t>
  </si>
  <si>
    <t>已形成基础字段协议</t>
  </si>
  <si>
    <t>PB-UV-003</t>
  </si>
  <si>
    <t>Unity 虚拟手显示与坐标映射</t>
  </si>
  <si>
    <t>Unity 交互基础</t>
  </si>
  <si>
    <t>US-INT-01</t>
  </si>
  <si>
    <t>汪佳佳</t>
  </si>
  <si>
    <t>待验收</t>
  </si>
  <si>
    <t>1. 虚拟手能跟随真实手移动；2. 坐标映射方向正确；3. 有平滑处理；4. 手部位置不明显抖动</t>
  </si>
  <si>
    <t>D-F-003;D-C-003</t>
  </si>
  <si>
    <t>摄像头画面方向、Unity 坐标系差异</t>
  </si>
  <si>
    <t>基础效果可用，手形美观度继续优化</t>
  </si>
  <si>
    <t>PB-INT-004</t>
  </si>
  <si>
    <t>抓取与释放基础交互</t>
  </si>
  <si>
    <t>基础手势操作</t>
  </si>
  <si>
    <t>US-INT-02</t>
  </si>
  <si>
    <t>夏思羿、汪佳佳</t>
  </si>
  <si>
    <t>1. 捏合/握拳时可抓取物体；2. 松手后物体释放；3. 释放后支持自由落体；4. 不抓握时物体不应跟随移动</t>
  </si>
  <si>
    <t>D-F-004;D-C-004</t>
  </si>
  <si>
    <t>误抓取、释放判定延迟、物体碰撞异常</t>
  </si>
  <si>
    <t>已完成核心逻辑，保留阈值调试空间</t>
  </si>
  <si>
    <t>PB-INT-005</t>
  </si>
  <si>
    <t>指尖点击与按钮触发逻辑</t>
  </si>
  <si>
    <t>US-INT-03</t>
  </si>
  <si>
    <t>待优化</t>
  </si>
  <si>
    <t>1. 食指靠近按钮后出现反馈；2. 点击动作才触发按钮；3. 不能仅进入区域就触发；4. 支持冷却时间防连点</t>
  </si>
  <si>
    <t>D-F-005;D-C-005</t>
  </si>
  <si>
    <t>点击判定过严或过宽导致误触</t>
  </si>
  <si>
    <t>当前可用，仍需根据演示机摄像头调阈值</t>
  </si>
  <si>
    <t>PB-INT-006</t>
  </si>
  <si>
    <t>旋转阀门基础操作</t>
  </si>
  <si>
    <t>工厂常用操作</t>
  </si>
  <si>
    <t>US-OP-01</t>
  </si>
  <si>
    <t>1. 手势靠近阀门出现引导线；2. 支持连续角度旋转；3. 旋转方向与手部轨迹一致；4. 灵敏度可调</t>
  </si>
  <si>
    <t>D-F-006;D-C-006</t>
  </si>
  <si>
    <t>角度映射过敏或不灵敏、手部上移导致阀门位移</t>
  </si>
  <si>
    <t>已实现 360 度旋转基础版本，灵敏度继续调参</t>
  </si>
  <si>
    <t>PB-INT-007</t>
  </si>
  <si>
    <t>推拉开关基础操作</t>
  </si>
  <si>
    <t>US-OP-02</t>
  </si>
  <si>
    <t>中</t>
  </si>
  <si>
    <t>Should</t>
  </si>
  <si>
    <t>1. 支持手掌/指尖推拉；2. 开关状态切换明确；3. UI 显示当前状态；4. 与其他操作场景相互独立</t>
  </si>
  <si>
    <t>D-F-007;D-C-007</t>
  </si>
  <si>
    <t>开关碰撞范围与手势方向判断</t>
  </si>
  <si>
    <t>已从同学分支同步基础功能</t>
  </si>
  <si>
    <t>建议项</t>
  </si>
  <si>
    <t>PB-SC-008</t>
  </si>
  <si>
    <t>传送带分拣训练场景</t>
  </si>
  <si>
    <t>训练任务场景</t>
  </si>
  <si>
    <t>US-SC-01</t>
  </si>
  <si>
    <t>申忠佩、汪佳佳</t>
  </si>
  <si>
    <t>1. 随机刷新不同颜色物块；2. 物块可沿传送带移动；3. 可抓取分拣到对应箱体；4. 箱体显示累计数量</t>
  </si>
  <si>
    <t>D-F-008;D-C-008</t>
  </si>
  <si>
    <t>物体碰撞、容量统计、引导线误显示</t>
  </si>
  <si>
    <t>已完成无限循环分拣基础版本</t>
  </si>
  <si>
    <t>PB-SC-009</t>
  </si>
  <si>
    <t>工厂训练大厅与工位布局搭建</t>
  </si>
  <si>
    <t>工厂大厅</t>
  </si>
  <si>
    <t>US-SC-02</t>
  </si>
  <si>
    <t>1. 大厅具备工业场景氛围；2. 训练工位分布清晰；3. 支持自由移动；4. 场景空间不拥挤；5. UI 不遮挡核心画面</t>
  </si>
  <si>
    <t>D-F-009;D-C-009</t>
  </si>
  <si>
    <t>场景拥挤、素材风格不统一、性能下降</t>
  </si>
  <si>
    <t>已搭建大厅，仍需扩大空间并美化资源</t>
  </si>
  <si>
    <t>PB-SC-010</t>
  </si>
  <si>
    <t>训练场景入口与切换机制</t>
  </si>
  <si>
    <t>场景流转</t>
  </si>
  <si>
    <t>US-SC-03</t>
  </si>
  <si>
    <t>1. 可从大厅进入不同训练任务；2. 各训练任务互相独立；3. 支持返回大厅；4. 进入任务后加载对应交互逻辑</t>
  </si>
  <si>
    <t>D-F-010;D-C-010</t>
  </si>
  <si>
    <t>场景未加入 Build Settings、任务 ID 不一致</t>
  </si>
  <si>
    <t>已完成基础入口机制</t>
  </si>
  <si>
    <t>PB-OP-06</t>
  </si>
  <si>
    <t>急停复位操作原型</t>
  </si>
  <si>
    <t>US-OP-03</t>
  </si>
  <si>
    <t>联调中</t>
  </si>
  <si>
    <t>1. 急停按钮有明显红色提示；2. 点击后进入停机状态；3. 复位后恢复运行；4. 状态变化可被记录</t>
  </si>
  <si>
    <t>D-F-011;D-C-011</t>
  </si>
  <si>
    <t>点击误触、状态未同步到任务逻辑</t>
  </si>
  <si>
    <t>已加入待办，作为迭代一扩展项</t>
  </si>
  <si>
    <t>PB-OP-012</t>
  </si>
  <si>
    <t>滑块校准操作原型</t>
  </si>
  <si>
    <t>US-OP-04</t>
  </si>
  <si>
    <t>1. 可拖动滑块到目标区间；2. 有目标刻度提示；3. 超出范围时有反馈；4. 支持重置</t>
  </si>
  <si>
    <t>D-F-012;D-C-012</t>
  </si>
  <si>
    <t>拖拽判定和目标范围反馈不稳定</t>
  </si>
  <si>
    <t>后续可用于仪表校准类训练</t>
  </si>
  <si>
    <t>PB-OP-013</t>
  </si>
  <si>
    <t>档位选择操作原型</t>
  </si>
  <si>
    <t>US-OP-05</t>
  </si>
  <si>
    <t>Could</t>
  </si>
  <si>
    <t>待开发</t>
  </si>
  <si>
    <t>1. 支持多个档位；2. 当前档位高亮；3. 只有有效拨动才切换；4. 可用于设备模式选择训练</t>
  </si>
  <si>
    <t>D-F-013;D-C-013</t>
  </si>
  <si>
    <t>档位碰撞区域设计不清晰</t>
  </si>
  <si>
    <t>作为迭代一补充项，优先级低于核心动作</t>
  </si>
  <si>
    <t>PB-OP-014</t>
  </si>
  <si>
    <t>螺栓拧紧操作原型</t>
  </si>
  <si>
    <t>US-OP-06</t>
  </si>
  <si>
    <t>1. 支持旋转累计圈数；2. 有拧紧进度反馈；3. 达到目标圈数后判定完成；4. 支持错误方向提示</t>
  </si>
  <si>
    <t>D-F-014;D-C-014</t>
  </si>
  <si>
    <t>旋转角度累计误差、手势识别抖动</t>
  </si>
  <si>
    <t>已做初版，但真实感和稳定性仍需提高</t>
  </si>
  <si>
    <t>PB-UI-015</t>
  </si>
  <si>
    <t>训练大厅 UI 菜单与提示优化</t>
  </si>
  <si>
    <t>界面与体验</t>
  </si>
  <si>
    <t>US-UI-01</t>
  </si>
  <si>
    <t>1. 右上角任务菜单可展开/收缩；2. 左上角与左下角冗余提示移除；3. 字体不镜像；4. 不遮挡操作画面</t>
  </si>
  <si>
    <t>D-F-015</t>
  </si>
  <si>
    <t>UI 遮挡、字号不统一、菜单状态混乱</t>
  </si>
  <si>
    <t>已根据演示反馈调整部分 HUD</t>
  </si>
  <si>
    <t>PB-DATA-016</t>
  </si>
  <si>
    <t>训练数据结构与日志字段预留</t>
  </si>
  <si>
    <t>数据与记录</t>
  </si>
  <si>
    <t>US-DATA-01</t>
  </si>
  <si>
    <t>何哲宇</t>
  </si>
  <si>
    <t>1. 预留任务 ID、开始时间、完成时间、错误次数、操作用时等字段；2. 便于后续考核统计；3. 不影响当前演示性能</t>
  </si>
  <si>
    <t>D-D-001;D-C-015</t>
  </si>
  <si>
    <t>字段设计过重导致本轮开发分散</t>
  </si>
  <si>
    <t>本轮只做字段预留，不做完整报表</t>
  </si>
  <si>
    <t>PB-DOC-017</t>
  </si>
  <si>
    <t>运行环境与启动说明整理</t>
  </si>
  <si>
    <t>过程文档</t>
  </si>
  <si>
    <t>US-DOC-01</t>
  </si>
  <si>
    <t>1. 写清 Python 运行命令；2. 写清 Unity 打开场景；3. 标注常见问题；4. 组员可按说明独立运行</t>
  </si>
  <si>
    <t>D-D-002</t>
  </si>
  <si>
    <t>环境路径差异、依赖版本不一致</t>
  </si>
  <si>
    <t>已形成基础运行流程</t>
  </si>
  <si>
    <t>PB-TEST-018</t>
  </si>
  <si>
    <t>迭代一测试用例与问题清单</t>
  </si>
  <si>
    <t>测试与质量</t>
  </si>
  <si>
    <t>US-QA-01</t>
  </si>
  <si>
    <t>全体成员</t>
  </si>
  <si>
    <t>1. 覆盖识别、通信、抓取、点击、场景切换；2. 记录问题、严重程度、责任人；3. 支持迭代评审复盘</t>
  </si>
  <si>
    <t>D-D-003</t>
  </si>
  <si>
    <t>测试记录滞后于开发进度</t>
  </si>
  <si>
    <t>已整理主要测试场景，待最终演示后补充结果</t>
  </si>
  <si>
    <t>PB-PM-019</t>
  </si>
  <si>
    <t>迭代一冲刺过程文档归档</t>
  </si>
  <si>
    <t>项目管理</t>
  </si>
  <si>
    <t>US-PM-01</t>
  </si>
  <si>
    <t>1. 冲刺计划会议纪要完整；2. 待办跟踪表完整；3. 任务分工与交付物对应；4. 能支撑课堂检查</t>
  </si>
  <si>
    <t>D-D-004</t>
  </si>
  <si>
    <t>文档和代码成果不一致</t>
  </si>
  <si>
    <t>本表为归档材料之一</t>
  </si>
  <si>
    <t>PB-RISK-020</t>
  </si>
  <si>
    <t>演示环境兼容性检查</t>
  </si>
  <si>
    <t>US-QA-02</t>
  </si>
  <si>
    <t>刘家伟、夏思羿</t>
  </si>
  <si>
    <t>1. 检查摄像头可用；2. 检查 MediaPipe 模型路径；3. 检查 Unity 场景可进入；4. 准备异常时的备用演示方案</t>
  </si>
  <si>
    <t>D-D-005</t>
  </si>
  <si>
    <t>现场设备缺少依赖或摄像头不可用</t>
  </si>
  <si>
    <t>需在汇报电脑上再次验证</t>
  </si>
  <si>
    <t>迭代一交付物清单</t>
  </si>
  <si>
    <t>交付物与冲刺待办项一一关联，用于评审、验收与归档</t>
  </si>
  <si>
    <t>交付物ID</t>
  </si>
  <si>
    <t>交付物名称</t>
  </si>
  <si>
    <t>交付类型</t>
  </si>
  <si>
    <t>责任认领人</t>
  </si>
  <si>
    <t>核心验收标准</t>
  </si>
  <si>
    <t>计划交付时间</t>
  </si>
  <si>
    <t>实际交付时间</t>
  </si>
  <si>
    <t>交付状态</t>
  </si>
  <si>
    <t>更新记录</t>
  </si>
  <si>
    <t>关联待办项ID</t>
  </si>
  <si>
    <t>关联用户故事ID</t>
  </si>
  <si>
    <t>D-F-001</t>
  </si>
  <si>
    <t>Python 手势识别服务（可运行）</t>
  </si>
  <si>
    <t>功能交付物</t>
  </si>
  <si>
    <t>摄像头可启动，MediaPipe 能输出手部关键点，控制台无阻塞报错</t>
  </si>
  <si>
    <t>6-10 16:00：完成基础识别链路并通过组内演示</t>
  </si>
  <si>
    <t/>
  </si>
  <si>
    <t>D-F-002</t>
  </si>
  <si>
    <t>WebSocket 手势数据通信通道</t>
  </si>
  <si>
    <t>Unity 能接收 Python 输出的手部坐标和动作状态，端口与字段说明清晰</t>
  </si>
  <si>
    <t>6-10 18:00：完成通信联调，字段协议同步给 Unity 组</t>
  </si>
  <si>
    <t>D-F-003</t>
  </si>
  <si>
    <t>Unity 虚拟手显示与跟随效果</t>
  </si>
  <si>
    <t>虚拟手跟随真实手移动，支持平滑处理，画面方向正确</t>
  </si>
  <si>
    <t>6-11 12:00：完成基础显示，待最终验收</t>
  </si>
  <si>
    <t>D-F-004</t>
  </si>
  <si>
    <t>抓取与释放训练 Demo</t>
  </si>
  <si>
    <t>真实手势可抓取、移动、释放物体，释放后物体遵循物理效果</t>
  </si>
  <si>
    <t>6-11 17:00：完成抓取释放逻辑并修复未抓握跟随问题</t>
  </si>
  <si>
    <t>D-F-005</t>
  </si>
  <si>
    <t>指尖点击按钮交互 Demo</t>
  </si>
  <si>
    <t>食指点击可触发按钮，靠近但未点击不会直接触发</t>
  </si>
  <si>
    <t>6-11 20:00：完成初版点击逻辑，阈值待继续调试</t>
  </si>
  <si>
    <t>D-F-006</t>
  </si>
  <si>
    <t>旋转阀门训练 Demo</t>
  </si>
  <si>
    <t>支持阀门连续旋转和角度反馈，灵敏度可配置</t>
  </si>
  <si>
    <t>6-12 10:00：完成 360 度旋转基础版本，保留调参项</t>
  </si>
  <si>
    <t>D-F-007</t>
  </si>
  <si>
    <t>推拉开关训练 Demo</t>
  </si>
  <si>
    <t>可通过手势完成推拉开关动作，状态反馈明确</t>
  </si>
  <si>
    <t>6-12 6:00：同步同学分支基础功能，待集成验收</t>
  </si>
  <si>
    <t>D-F-008</t>
  </si>
  <si>
    <t>随机刷新物块，传送带循环运行，分拣箱统计数量</t>
  </si>
  <si>
    <t>6-12 15:00：完成随机刷新、抓取分拣和数量显示</t>
  </si>
  <si>
    <t>D-F-009</t>
  </si>
  <si>
    <t>工厂训练大厅与工位布局</t>
  </si>
  <si>
    <t>大厅可自由移动，训练工位分布明确，具备工厂场景氛围</t>
  </si>
  <si>
    <t>6-12 16:00：完成基础大厅，后续继续扩大空间和美化资源</t>
  </si>
  <si>
    <t>D-F-010</t>
  </si>
  <si>
    <t>大厅可进入多个训练任务，任务之间互相独立并可返回</t>
  </si>
  <si>
    <t>6-12 17:00：完成训练入口与任务 ID 映射</t>
  </si>
  <si>
    <t>D-F-06</t>
  </si>
  <si>
    <t>支持急停触发和复位恢复，状态变化可视化</t>
  </si>
  <si>
    <t>6-12 17:30：初版完成，待与点击逻辑联调</t>
  </si>
  <si>
    <t>D-F-012</t>
  </si>
  <si>
    <t>可拖动滑块至目标刻度，具备范围反馈</t>
  </si>
  <si>
    <t>6-12 17:30：初版完成，待拖拽阈值优化</t>
  </si>
  <si>
    <t>D-F-013</t>
  </si>
  <si>
    <t>支持多档位切换和当前档位高亮</t>
  </si>
  <si>
    <t>6-12 18:00：作为补充功能列入后续优化</t>
  </si>
  <si>
    <t>D-F-014</t>
  </si>
  <si>
    <t>支持旋转累计、进度反馈和目标完成判定</t>
  </si>
  <si>
    <t>6-12 18:00：初版完成，真实感仍需提高</t>
  </si>
  <si>
    <t>右上角菜单可展开收缩，冗余提示移除，文字不镜像</t>
  </si>
  <si>
    <t>6-12 18:30：完成部分 HUD 调整</t>
  </si>
  <si>
    <t>D-C-001</t>
  </si>
  <si>
    <t>Python 手势识别核心代码</t>
  </si>
  <si>
    <t>代码交付物</t>
  </si>
  <si>
    <t>代码结构清晰，可通过命令启动，依赖说明完整</t>
  </si>
  <si>
    <t>6-10 18:00：提交 gesture-service 相关代码</t>
  </si>
  <si>
    <t>D-C-002</t>
  </si>
  <si>
    <t>Unity 交互脚本代码</t>
  </si>
  <si>
    <t>包含虚拟手、抓取、点击、场景入口等核心脚本</t>
  </si>
  <si>
    <t>6-12 18:00：脚本已整理，待统一代码审查</t>
  </si>
  <si>
    <t>PB-UV-003;PB-INT-004;PB-INT-005;PB-SC-010</t>
  </si>
  <si>
    <t>D-D-001</t>
  </si>
  <si>
    <t>训练数据字段设计说明</t>
  </si>
  <si>
    <t>文档交付物</t>
  </si>
  <si>
    <t>说明任务 ID、用时、错误次数、完成状态等字段</t>
  </si>
  <si>
    <t>6-12 18:00：完成字段草案</t>
  </si>
  <si>
    <t>项目运行环境与启动说明</t>
  </si>
  <si>
    <t>包含 Python 服务启动、Unity 场景打开、常见问题处理</t>
  </si>
  <si>
    <t>6-12 19:00：完成运行指令整理</t>
  </si>
  <si>
    <t>覆盖识别、通信、交互、场景切换与演示环境</t>
  </si>
  <si>
    <t>6-12 19:00：完成测试用例初稿</t>
  </si>
  <si>
    <t>PB-TEST-018;PB-RISK-020</t>
  </si>
  <si>
    <t>US-QA-01;US-QA-02</t>
  </si>
  <si>
    <t>迭代一冲刺计划与待办跟踪文档</t>
  </si>
  <si>
    <t>会议纪要、待办列表、交付物清单内容一致，可用于课堂检查</t>
  </si>
  <si>
    <t>6-12 20:00：完成归档版</t>
  </si>
  <si>
    <t>D-CF-001</t>
  </si>
  <si>
    <t>演示环境配置与备用方案</t>
  </si>
  <si>
    <t>配置交付物</t>
  </si>
  <si>
    <t>包含依赖版本、端口、摄像头配置与备用启动方案</t>
  </si>
  <si>
    <t>6-12 20:00：待在汇报电脑复测</t>
  </si>
  <si>
    <t>迭代一进度统计看板</t>
  </si>
  <si>
    <t>自动汇总冲刺待办、故事点、交付物状态与模块进度，便于每日站会和迭代评审使用</t>
  </si>
  <si>
    <t>指标</t>
  </si>
  <si>
    <t>数值</t>
  </si>
  <si>
    <t>待办状态</t>
  </si>
  <si>
    <t>数量</t>
  </si>
  <si>
    <t>占比</t>
  </si>
  <si>
    <t>模块</t>
  </si>
  <si>
    <t>待办数</t>
  </si>
  <si>
    <t>平均完成度</t>
  </si>
  <si>
    <t>核心说明</t>
  </si>
  <si>
    <t>待办项总数</t>
  </si>
  <si>
    <t>摄像头采集与 MediaPipe 识别链路</t>
  </si>
  <si>
    <t>Must 项数量</t>
  </si>
  <si>
    <t>WebSocket 数据传输与字段协议</t>
  </si>
  <si>
    <t>验收通过待办</t>
  </si>
  <si>
    <t>虚拟手显示、坐标映射与交互基座</t>
  </si>
  <si>
    <t>待优化/联调中</t>
  </si>
  <si>
    <t>抓取释放、指尖点击等通用操作</t>
  </si>
  <si>
    <t>故事点总数</t>
  </si>
  <si>
    <t>阀门、推拉、急停、滑块、档位、螺栓</t>
  </si>
  <si>
    <t>已完成故事点</t>
  </si>
  <si>
    <t>开发中</t>
  </si>
  <si>
    <t>传送带分拣与任务化训练</t>
  </si>
  <si>
    <t>待办完成率</t>
  </si>
  <si>
    <t>验收不通过</t>
  </si>
  <si>
    <t>自由移动、训练工位与空间布局</t>
  </si>
  <si>
    <t>合计</t>
  </si>
  <si>
    <t>大厅进入任务与返回逻辑</t>
  </si>
  <si>
    <t>测试用例、演示环境与风险验证</t>
  </si>
  <si>
    <t>迭代一关键结论</t>
  </si>
  <si>
    <t>1</t>
  </si>
  <si>
    <t>本轮重点不是完整业务系统，而是打通真实手势输入、Unity 交互反馈和工厂场景演示闭环。</t>
  </si>
  <si>
    <t>2</t>
  </si>
  <si>
    <t>抓取释放、点击按钮、阀门旋转、推拉开关、传送带分拣构成本轮核心基础能力。</t>
  </si>
  <si>
    <t>3</t>
  </si>
  <si>
    <t>登录注册、完整考核评分、学习报告和课程管理暂不纳入迭代一强制验收范围。</t>
  </si>
  <si>
    <t>4</t>
  </si>
  <si>
    <t>待优化项主要集中在交互阈值、阀门灵敏度、UI 遮挡和工厂大厅真实感。</t>
  </si>
  <si>
    <t>5</t>
  </si>
  <si>
    <t>迭代二可在本轮基础上继续做训练流程串联、评分规则和数据统计。</t>
  </si>
  <si>
    <t>冲刺待办列表填写与维护说明</t>
  </si>
  <si>
    <t>适用于慧动手项目迭代一过程跟踪、每日站会、迭代评审和文档归档</t>
  </si>
  <si>
    <t>类别</t>
  </si>
  <si>
    <t>字段/事项</t>
  </si>
  <si>
    <t>填写要求</t>
  </si>
  <si>
    <t>示例</t>
  </si>
  <si>
    <t>注意事项</t>
  </si>
  <si>
    <t>基础信息</t>
  </si>
  <si>
    <t>按 PB-模块-序号 编码，不可重复</t>
  </si>
  <si>
    <t>Scrum Master</t>
  </si>
  <si>
    <t>新增任务需同步交付物清单</t>
  </si>
  <si>
    <t>使用项目统一模块名称</t>
  </si>
  <si>
    <t>任务负责人</t>
  </si>
  <si>
    <t>模块名影响统计看板</t>
  </si>
  <si>
    <t>计划管理</t>
  </si>
  <si>
    <t>高/中/低</t>
  </si>
  <si>
    <t>产品负责人</t>
  </si>
  <si>
    <t>高优先级任务优先保证可演示</t>
  </si>
  <si>
    <t>Must/Should/Could/Won't</t>
  </si>
  <si>
    <t>Must 项是迭代一验收重点</t>
  </si>
  <si>
    <t>进度管理</t>
  </si>
  <si>
    <t>按状态流转更新</t>
  </si>
  <si>
    <t>不可长期停留在开发中不说明原因</t>
  </si>
  <si>
    <t>按 0%-100% 填写</t>
  </si>
  <si>
    <t>85%</t>
  </si>
  <si>
    <t>待优化项可高于 80%，但不能写 100%</t>
  </si>
  <si>
    <t>验收管理</t>
  </si>
  <si>
    <t>写清可验证条件</t>
  </si>
  <si>
    <t>能抓取、移动、释放物体</t>
  </si>
  <si>
    <t>测试负责人</t>
  </si>
  <si>
    <t>避免只写“基本完成”</t>
  </si>
  <si>
    <t>交付管理</t>
  </si>
  <si>
    <t>与交付物清单保持一致</t>
  </si>
  <si>
    <t>文档负责人</t>
  </si>
  <si>
    <t>任务完成但无交付物视为归档不完整</t>
  </si>
  <si>
    <t>风险管理</t>
  </si>
  <si>
    <t>记录影响开发和演示的问题</t>
  </si>
  <si>
    <t>摄像头权限、阈值误触</t>
  </si>
  <si>
    <t>每日站会需同步高风险项</t>
  </si>
  <si>
    <t>维护流程</t>
  </si>
  <si>
    <t>每日站会前</t>
  </si>
  <si>
    <t>责任人更新状态、完成度和备注</t>
  </si>
  <si>
    <t>第2天 09:30 前更新</t>
  </si>
  <si>
    <t>未更新视为进度未知</t>
  </si>
  <si>
    <t>每日站会后</t>
  </si>
  <si>
    <t>Scrum Master 汇总阻塞项并调整优先级</t>
  </si>
  <si>
    <t>调整阀门优化优先级</t>
  </si>
  <si>
    <t>范围变更需 PO 确认</t>
  </si>
  <si>
    <t>迭代评审前</t>
  </si>
  <si>
    <t>测试负责人核对待办、交付物、问题清单是否一致</t>
  </si>
  <si>
    <t>检查 D-D-003</t>
  </si>
  <si>
    <t>文档与代码演示要一致</t>
  </si>
  <si>
    <t>状态说明</t>
  </si>
  <si>
    <t>功能已完成并通过组内验收</t>
  </si>
  <si>
    <t>抓取释放</t>
  </si>
  <si>
    <t>验收人</t>
  </si>
  <si>
    <t>可进入最终演示</t>
  </si>
  <si>
    <t>基础可用但体验或稳定性仍需提升</t>
  </si>
  <si>
    <t>阀门旋转</t>
  </si>
  <si>
    <t>可作为后续迭代优化项</t>
  </si>
  <si>
    <t>功能初版存在但需跨模块调试</t>
  </si>
  <si>
    <t>急停复位</t>
  </si>
  <si>
    <t>需写明依赖模块</t>
  </si>
  <si>
    <t>本轮列入范围但优先级较低或未启动</t>
  </si>
  <si>
    <t>档位选择</t>
  </si>
  <si>
    <t>必要时可转入迭代二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</si>
</sst>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</numFmts>
  <fonts count="25">
    <font>
      <sz val="11"/>
      <name val="Carlito"/>
      <charset val="134"/>
    </font>
    <font>
      <b/>
      <sz val="18"/>
      <color rgb="FFFFFFFF"/>
      <name val="Microsoft YaHei"/>
      <charset val="134"/>
    </font>
    <font>
      <sz val="10"/>
      <color rgb="FF1F2933"/>
      <name val="Microsoft YaHei"/>
      <charset val="134"/>
    </font>
    <font>
      <b/>
      <sz val="10"/>
      <color rgb="FF1F2933"/>
      <name val="Microsoft YaHei"/>
      <charset val="134"/>
    </font>
    <font>
      <b/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465F"/>
        <bgColor indexed="64"/>
      </patternFill>
    </fill>
    <fill>
      <patternFill patternType="solid">
        <fgColor rgb="FF5B6F82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AD5DF"/>
      </left>
      <right style="thin">
        <color rgb="FFCAD5DF"/>
      </right>
      <top style="thin">
        <color rgb="FFCAD5DF"/>
      </top>
      <bottom style="thin">
        <color rgb="FFCAD5DF"/>
      </bottom>
      <diagonal/>
    </border>
    <border>
      <left style="thin">
        <color rgb="FFE1E7ED"/>
      </left>
      <right style="thin">
        <color rgb="FFE1E7ED"/>
      </right>
      <top style="thin">
        <color rgb="FFE1E7ED"/>
      </top>
      <bottom style="thin">
        <color rgb="FFE1E7ED"/>
      </bottom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2" fillId="5" borderId="2" xfId="49" applyNumberFormat="1" applyFont="1" applyFill="1" applyBorder="1" applyAlignment="1">
      <alignment vertical="center" wrapText="1"/>
    </xf>
    <xf numFmtId="0" fontId="3" fillId="6" borderId="1" xfId="49" applyNumberFormat="1" applyFont="1" applyFill="1" applyBorder="1" applyAlignment="1">
      <alignment horizontal="center" vertical="center" wrapText="1"/>
    </xf>
    <xf numFmtId="176" fontId="2" fillId="5" borderId="2" xfId="49" applyNumberFormat="1" applyFont="1" applyFill="1" applyBorder="1" applyAlignment="1">
      <alignment vertical="center" wrapText="1"/>
    </xf>
    <xf numFmtId="9" fontId="2" fillId="5" borderId="2" xfId="49" applyNumberFormat="1" applyFont="1" applyFill="1" applyBorder="1" applyAlignment="1">
      <alignment vertical="center" wrapText="1"/>
    </xf>
    <xf numFmtId="0" fontId="3" fillId="7" borderId="1" xfId="49" applyNumberFormat="1" applyFont="1" applyFill="1" applyBorder="1" applyAlignment="1">
      <alignment horizontal="center" vertical="center" wrapText="1"/>
    </xf>
    <xf numFmtId="0" fontId="2" fillId="8" borderId="3" xfId="49" applyNumberFormat="1" applyFont="1" applyFill="1" applyBorder="1" applyAlignment="1">
      <alignment vertical="center" wrapText="1"/>
    </xf>
    <xf numFmtId="177" fontId="2" fillId="5" borderId="2" xfId="49" applyNumberFormat="1" applyFont="1" applyFill="1" applyBorder="1" applyAlignment="1">
      <alignment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1" fontId="2" fillId="5" borderId="2" xfId="49" applyNumberFormat="1" applyFont="1" applyFill="1" applyBorder="1" applyAlignment="1">
      <alignment vertical="center" wrapText="1"/>
    </xf>
    <xf numFmtId="0" fontId="2" fillId="9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font>
        <b val="1"/>
        <color rgb="FF9C0006"/>
      </font>
      <fill>
        <patternFill patternType="solid">
          <bgColor rgb="FFF8CBAD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761D"/>
      </font>
      <fill>
        <patternFill patternType="solid">
          <bgColor rgb="FFD9EAD3"/>
        </patternFill>
      </fill>
    </dxf>
    <dxf>
      <font>
        <b val="1"/>
        <color rgb="FF0F6B3B"/>
      </font>
      <fill>
        <patternFill patternType="solid">
          <bgColor rgb="FFD9F2E3"/>
        </patternFill>
      </fill>
    </dxf>
    <dxf>
      <font>
        <b val="1"/>
        <color rgb="FF8A5A00"/>
      </font>
      <fill>
        <patternFill patternType="solid">
          <bgColor rgb="FFFFF2CC"/>
        </patternFill>
      </fill>
    </dxf>
    <dxf>
      <font>
        <b val="1"/>
        <color rgb="FF9C3F12"/>
      </font>
      <fill>
        <patternFill patternType="solid">
          <bgColor rgb="FFFCE4D6"/>
        </patternFill>
      </fill>
    </dxf>
    <dxf>
      <font>
        <b val="1"/>
        <color rgb="FF1D4E89"/>
      </font>
      <fill>
        <patternFill patternType="solid">
          <bgColor rgb="FFDDEBFF"/>
        </patternFill>
      </fill>
    </dxf>
    <dxf>
      <font>
        <b val="1"/>
        <color rgb="FF555555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待办状态分布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进度统计看板!$D$5:$D$11</c:f>
              <c:strCache>
                <c:ptCount val="7"/>
                <c:pt idx="0">
                  <c:v>验收通过</c:v>
                </c:pt>
                <c:pt idx="1">
                  <c:v>待验收</c:v>
                </c:pt>
                <c:pt idx="2">
                  <c:v>待优化</c:v>
                </c:pt>
                <c:pt idx="3">
                  <c:v>联调中</c:v>
                </c:pt>
                <c:pt idx="4">
                  <c:v>待开发</c:v>
                </c:pt>
                <c:pt idx="5">
                  <c:v>开发中</c:v>
                </c:pt>
                <c:pt idx="6">
                  <c:v>验收不通过</c:v>
                </c:pt>
              </c:strCache>
            </c:strRef>
          </c:cat>
          <c:val>
            <c:numRef>
              <c:f>进度统计看板!$E$5:$E$11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a6a37c1-7c1a-4ea1-b36d-7a3e80874aa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模块平均完成度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"平均完成度"</c:f>
              <c:strCache>
                <c:ptCount val="1"/>
                <c:pt idx="0">
                  <c:v>平均完成度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dLbls>
            <c:delete val="1"/>
          </c:dLbls>
          <c:cat>
            <c:strRef>
              <c:f>进度统计看板!$H$5:$H$13</c:f>
              <c:strCache>
                <c:ptCount val="9"/>
                <c:pt idx="0">
                  <c:v>手势识别服务</c:v>
                </c:pt>
                <c:pt idx="1">
                  <c:v>通信与数据链路</c:v>
                </c:pt>
                <c:pt idx="2">
                  <c:v>Unity 交互基础</c:v>
                </c:pt>
                <c:pt idx="3">
                  <c:v>基础手势操作</c:v>
                </c:pt>
                <c:pt idx="4">
                  <c:v>工厂常用操作</c:v>
                </c:pt>
                <c:pt idx="5">
                  <c:v>训练任务场景</c:v>
                </c:pt>
                <c:pt idx="6">
                  <c:v>工厂大厅</c:v>
                </c:pt>
                <c:pt idx="7">
                  <c:v>场景流转</c:v>
                </c:pt>
                <c:pt idx="8">
                  <c:v>测试与质量</c:v>
                </c:pt>
              </c:strCache>
            </c:strRef>
          </c:cat>
          <c:val>
            <c:numRef>
              <c:f>进度统计看板!$J$5:$J$13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0.9</c:v>
                </c:pt>
                <c:pt idx="3">
                  <c:v>0.9</c:v>
                </c:pt>
                <c:pt idx="4">
                  <c:v>0.625</c:v>
                </c:pt>
                <c:pt idx="5">
                  <c:v>0.95</c:v>
                </c:pt>
                <c:pt idx="6">
                  <c:v>0.85</c:v>
                </c:pt>
                <c:pt idx="7">
                  <c:v>1</c:v>
                </c:pt>
                <c:pt idx="8">
                  <c:v>0.825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851c08-9040-4b10-83a6-ae4171afae1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1527790" y="708660"/>
        <a:ext cx="5925820" cy="461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>
      <xdr:nvGraphicFramePr>
        <xdr:cNvPr id="3" name="Chart"/>
        <xdr:cNvGraphicFramePr/>
      </xdr:nvGraphicFramePr>
      <xdr:xfrm>
        <a:off x="11527790" y="5764530"/>
        <a:ext cx="592582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printBacklogTable" displayName="SprintBacklogTable" ref="A4:R24">
  <tableColumns count="18">
    <tableColumn id="1" name="待办项ID"/>
    <tableColumn id="2" name="待办项名称"/>
    <tableColumn id="3" name="所属模块"/>
    <tableColumn id="4" name="关联用户故事"/>
    <tableColumn id="5" name="优先级"/>
    <tableColumn id="6" name="MoSCoW"/>
    <tableColumn id="7" name="故事点"/>
    <tableColumn id="8" name="责任人"/>
    <tableColumn id="9" name="协作人员"/>
    <tableColumn id="10" name="计划完成时间"/>
    <tableColumn id="11" name="实际完成时间"/>
    <tableColumn id="12" name="当前状态"/>
    <tableColumn id="13" name="完成度"/>
    <tableColumn id="14" name="验收标准要点"/>
    <tableColumn id="15" name="关联交付物ID"/>
    <tableColumn id="16" name="主要风险/依赖"/>
    <tableColumn id="17" name="备注"/>
    <tableColumn id="18" name="是否纳入迭代一验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liverablesTable" displayName="DeliverablesTable" ref="A4:M26">
  <tableColumns count="13">
    <tableColumn id="1" name="交付物ID"/>
    <tableColumn id="2" name="交付物名称"/>
    <tableColumn id="3" name="所属模块"/>
    <tableColumn id="4" name="交付类型"/>
    <tableColumn id="5" name="责任认领人"/>
    <tableColumn id="6" name="核心验收标准"/>
    <tableColumn id="7" name="计划交付时间"/>
    <tableColumn id="8" name="实际交付时间"/>
    <tableColumn id="9" name="交付状态"/>
    <tableColumn id="10" name="更新记录"/>
    <tableColumn id="11" name="关联待办项ID"/>
    <tableColumn id="12" name="关联用户故事ID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uideTable" displayName="GuideTable" ref="A4:F20">
  <tableColumns count="6">
    <tableColumn id="1" name="类别"/>
    <tableColumn id="2" name="字段/事项"/>
    <tableColumn id="3" name="填写要求"/>
    <tableColumn id="4" name="示例"/>
    <tableColumn id="5" name="责任人"/>
    <tableColumn id="6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workbookViewId="0">
      <selection activeCell="C15" sqref="C15"/>
    </sheetView>
  </sheetViews>
  <sheetFormatPr defaultColWidth="9" defaultRowHeight="13.8"/>
  <cols>
    <col min="1" max="1" width="11.8833333333333" customWidth="1"/>
    <col min="2" max="2" width="13.1333333333333" customWidth="1"/>
    <col min="3" max="3" width="13.75" customWidth="1"/>
    <col min="4" max="4" width="12.5" customWidth="1"/>
    <col min="5" max="5" width="37.5" customWidth="1"/>
    <col min="6" max="6" width="22.5" customWidth="1"/>
    <col min="7" max="7" width="32.5" customWidth="1"/>
    <col min="8" max="8" width="12.5" customWidth="1"/>
    <col min="9" max="9" width="16.25" customWidth="1"/>
    <col min="10" max="10" width="11.25" customWidth="1"/>
  </cols>
  <sheetData>
    <row r="1" ht="25.8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ht="15" spans="1:10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 ht="15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15.6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ht="30" spans="1:10">
      <c r="A5" s="5" t="s">
        <v>12</v>
      </c>
      <c r="B5" s="11">
        <v>46184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</row>
    <row r="6" ht="15" spans="1:10">
      <c r="A6" s="5" t="s">
        <v>21</v>
      </c>
      <c r="B6" s="11">
        <v>46185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  <c r="J6" s="5" t="s">
        <v>20</v>
      </c>
    </row>
    <row r="7" ht="15" spans="1:10">
      <c r="A7" s="5" t="s">
        <v>29</v>
      </c>
      <c r="B7" s="11">
        <v>46185</v>
      </c>
      <c r="C7" s="5" t="s">
        <v>30</v>
      </c>
      <c r="D7" s="5" t="s">
        <v>23</v>
      </c>
      <c r="E7" s="5" t="s">
        <v>31</v>
      </c>
      <c r="F7" s="5" t="s">
        <v>32</v>
      </c>
      <c r="G7" s="5" t="s">
        <v>33</v>
      </c>
      <c r="H7" s="5" t="s">
        <v>27</v>
      </c>
      <c r="I7" s="5" t="s">
        <v>34</v>
      </c>
      <c r="J7" s="5" t="s">
        <v>20</v>
      </c>
    </row>
    <row r="8" ht="15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ht="15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ht="15" spans="1:10">
      <c r="A10" s="14" t="s">
        <v>35</v>
      </c>
      <c r="B10" s="14" t="s">
        <v>35</v>
      </c>
      <c r="C10" s="14" t="s">
        <v>35</v>
      </c>
      <c r="D10" s="14" t="s">
        <v>35</v>
      </c>
      <c r="E10" s="14" t="s">
        <v>35</v>
      </c>
      <c r="F10" s="14" t="s">
        <v>35</v>
      </c>
      <c r="G10" s="14" t="s">
        <v>35</v>
      </c>
      <c r="H10" s="14" t="s">
        <v>35</v>
      </c>
      <c r="I10" s="14" t="s">
        <v>35</v>
      </c>
      <c r="J10" s="14" t="s">
        <v>35</v>
      </c>
    </row>
  </sheetData>
  <mergeCells count="3">
    <mergeCell ref="A1:J1"/>
    <mergeCell ref="A2:J2"/>
    <mergeCell ref="A10:J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tabSelected="1" topLeftCell="A11" workbookViewId="0">
      <selection activeCell="T7" sqref="T7"/>
    </sheetView>
  </sheetViews>
  <sheetFormatPr defaultColWidth="9" defaultRowHeight="13.8"/>
  <cols>
    <col min="1" max="1" width="13.1333333333333" customWidth="1"/>
    <col min="2" max="2" width="32.5" customWidth="1"/>
    <col min="3" max="3" width="15.6333333333333" customWidth="1"/>
    <col min="4" max="4" width="13.1333333333333" customWidth="1"/>
    <col min="5" max="5" width="8.75" customWidth="1"/>
    <col min="6" max="6" width="10" customWidth="1"/>
    <col min="7" max="7" width="8.75" customWidth="1"/>
    <col min="8" max="8" width="10.6333333333333" customWidth="1"/>
    <col min="9" max="9" width="16.8833333333333" customWidth="1"/>
    <col min="10" max="11" width="13.1333333333333" customWidth="1"/>
    <col min="12" max="12" width="11.8833333333333" customWidth="1"/>
    <col min="13" max="13" width="10.6333333333333" customWidth="1"/>
    <col min="14" max="14" width="41.25" customWidth="1"/>
    <col min="15" max="15" width="18.75" customWidth="1"/>
    <col min="16" max="16" width="28.75" customWidth="1"/>
    <col min="17" max="17" width="26.25" customWidth="1"/>
    <col min="18" max="18" width="15" customWidth="1"/>
  </cols>
  <sheetData>
    <row r="1" ht="25.8" spans="1:18">
      <c r="A1" s="1" t="s">
        <v>36</v>
      </c>
      <c r="B1" s="1" t="s">
        <v>36</v>
      </c>
      <c r="C1" s="1" t="s">
        <v>36</v>
      </c>
      <c r="D1" s="1" t="s">
        <v>36</v>
      </c>
      <c r="E1" s="1" t="s">
        <v>36</v>
      </c>
      <c r="F1" s="1" t="s">
        <v>36</v>
      </c>
      <c r="G1" s="1" t="s">
        <v>36</v>
      </c>
      <c r="H1" s="1" t="s">
        <v>36</v>
      </c>
      <c r="I1" s="1" t="s">
        <v>36</v>
      </c>
      <c r="J1" s="1" t="s">
        <v>36</v>
      </c>
      <c r="K1" s="1" t="s">
        <v>36</v>
      </c>
      <c r="L1" s="1" t="s">
        <v>36</v>
      </c>
      <c r="M1" s="1" t="s">
        <v>36</v>
      </c>
      <c r="N1" s="1" t="s">
        <v>36</v>
      </c>
      <c r="O1" s="1" t="s">
        <v>36</v>
      </c>
      <c r="P1" s="1" t="s">
        <v>36</v>
      </c>
      <c r="Q1" s="1" t="s">
        <v>36</v>
      </c>
      <c r="R1" s="1" t="s">
        <v>36</v>
      </c>
    </row>
    <row r="2" ht="15" spans="1:18">
      <c r="A2" s="2" t="s">
        <v>37</v>
      </c>
      <c r="B2" s="2" t="s">
        <v>37</v>
      </c>
      <c r="C2" s="2" t="s">
        <v>37</v>
      </c>
      <c r="D2" s="2" t="s">
        <v>37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</row>
    <row r="3" ht="15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1.2" spans="1:18">
      <c r="A4" s="12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  <c r="N4" s="12" t="s">
        <v>51</v>
      </c>
      <c r="O4" s="12" t="s">
        <v>52</v>
      </c>
      <c r="P4" s="12" t="s">
        <v>53</v>
      </c>
      <c r="Q4" s="12" t="s">
        <v>10</v>
      </c>
      <c r="R4" s="12" t="s">
        <v>54</v>
      </c>
    </row>
    <row r="5" ht="43.5" customHeight="1" spans="1:18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13">
        <v>8</v>
      </c>
      <c r="H5" s="5" t="s">
        <v>61</v>
      </c>
      <c r="I5" s="5" t="s">
        <v>62</v>
      </c>
      <c r="J5" s="11">
        <v>46183</v>
      </c>
      <c r="K5" s="11">
        <v>46183</v>
      </c>
      <c r="L5" s="5" t="s">
        <v>63</v>
      </c>
      <c r="M5" s="8">
        <v>1</v>
      </c>
      <c r="N5" s="5" t="s">
        <v>64</v>
      </c>
      <c r="O5" s="5" t="s">
        <v>65</v>
      </c>
      <c r="P5" s="5" t="s">
        <v>66</v>
      </c>
      <c r="Q5" s="5" t="s">
        <v>67</v>
      </c>
      <c r="R5" s="5" t="s">
        <v>68</v>
      </c>
    </row>
    <row r="6" ht="43.5" customHeight="1" spans="1:18">
      <c r="A6" s="5" t="s">
        <v>69</v>
      </c>
      <c r="B6" s="5" t="s">
        <v>70</v>
      </c>
      <c r="C6" s="5" t="s">
        <v>71</v>
      </c>
      <c r="D6" s="5" t="s">
        <v>72</v>
      </c>
      <c r="E6" s="5" t="s">
        <v>59</v>
      </c>
      <c r="F6" s="5" t="s">
        <v>60</v>
      </c>
      <c r="G6" s="13">
        <v>8</v>
      </c>
      <c r="H6" s="5" t="s">
        <v>62</v>
      </c>
      <c r="I6" s="5" t="s">
        <v>73</v>
      </c>
      <c r="J6" s="11">
        <v>46183</v>
      </c>
      <c r="K6" s="11">
        <v>46183</v>
      </c>
      <c r="L6" s="5" t="s">
        <v>63</v>
      </c>
      <c r="M6" s="8">
        <v>1</v>
      </c>
      <c r="N6" s="5" t="s">
        <v>74</v>
      </c>
      <c r="O6" s="5" t="s">
        <v>75</v>
      </c>
      <c r="P6" s="5" t="s">
        <v>76</v>
      </c>
      <c r="Q6" s="5" t="s">
        <v>77</v>
      </c>
      <c r="R6" s="5" t="s">
        <v>68</v>
      </c>
    </row>
    <row r="7" ht="43.5" customHeight="1" spans="1:18">
      <c r="A7" s="5" t="s">
        <v>78</v>
      </c>
      <c r="B7" s="5" t="s">
        <v>79</v>
      </c>
      <c r="C7" s="5" t="s">
        <v>80</v>
      </c>
      <c r="D7" s="5" t="s">
        <v>81</v>
      </c>
      <c r="E7" s="5" t="s">
        <v>59</v>
      </c>
      <c r="F7" s="5" t="s">
        <v>60</v>
      </c>
      <c r="G7" s="13">
        <v>6</v>
      </c>
      <c r="H7" s="5" t="s">
        <v>13</v>
      </c>
      <c r="I7" s="5" t="s">
        <v>82</v>
      </c>
      <c r="J7" s="11">
        <v>46183</v>
      </c>
      <c r="K7" s="11">
        <v>46179</v>
      </c>
      <c r="L7" s="5" t="s">
        <v>83</v>
      </c>
      <c r="M7" s="8">
        <v>0.9</v>
      </c>
      <c r="N7" s="5" t="s">
        <v>84</v>
      </c>
      <c r="O7" s="5" t="s">
        <v>85</v>
      </c>
      <c r="P7" s="5" t="s">
        <v>86</v>
      </c>
      <c r="Q7" s="5" t="s">
        <v>87</v>
      </c>
      <c r="R7" s="5" t="s">
        <v>68</v>
      </c>
    </row>
    <row r="8" ht="43.5" customHeight="1" spans="1:18">
      <c r="A8" s="5" t="s">
        <v>88</v>
      </c>
      <c r="B8" s="5" t="s">
        <v>89</v>
      </c>
      <c r="C8" s="5" t="s">
        <v>90</v>
      </c>
      <c r="D8" s="5" t="s">
        <v>91</v>
      </c>
      <c r="E8" s="5" t="s">
        <v>59</v>
      </c>
      <c r="F8" s="5" t="s">
        <v>60</v>
      </c>
      <c r="G8" s="13">
        <v>8</v>
      </c>
      <c r="H8" s="5" t="s">
        <v>13</v>
      </c>
      <c r="I8" s="5" t="s">
        <v>92</v>
      </c>
      <c r="J8" s="11">
        <v>46184</v>
      </c>
      <c r="K8" s="11">
        <v>46184</v>
      </c>
      <c r="L8" s="5" t="s">
        <v>63</v>
      </c>
      <c r="M8" s="8">
        <v>0.95</v>
      </c>
      <c r="N8" s="5" t="s">
        <v>93</v>
      </c>
      <c r="O8" s="5" t="s">
        <v>94</v>
      </c>
      <c r="P8" s="5" t="s">
        <v>95</v>
      </c>
      <c r="Q8" s="5" t="s">
        <v>96</v>
      </c>
      <c r="R8" s="5" t="s">
        <v>68</v>
      </c>
    </row>
    <row r="9" ht="43.5" customHeight="1" spans="1:18">
      <c r="A9" s="5" t="s">
        <v>97</v>
      </c>
      <c r="B9" s="5" t="s">
        <v>98</v>
      </c>
      <c r="C9" s="5" t="s">
        <v>90</v>
      </c>
      <c r="D9" s="5" t="s">
        <v>99</v>
      </c>
      <c r="E9" s="5" t="s">
        <v>59</v>
      </c>
      <c r="F9" s="5" t="s">
        <v>60</v>
      </c>
      <c r="G9" s="13">
        <v>6</v>
      </c>
      <c r="H9" s="5" t="s">
        <v>82</v>
      </c>
      <c r="I9" s="5" t="s">
        <v>13</v>
      </c>
      <c r="J9" s="11">
        <v>46184</v>
      </c>
      <c r="K9" s="11">
        <v>46184</v>
      </c>
      <c r="L9" s="5" t="s">
        <v>100</v>
      </c>
      <c r="M9" s="8">
        <v>0.85</v>
      </c>
      <c r="N9" s="5" t="s">
        <v>101</v>
      </c>
      <c r="O9" s="5" t="s">
        <v>102</v>
      </c>
      <c r="P9" s="5" t="s">
        <v>103</v>
      </c>
      <c r="Q9" s="5" t="s">
        <v>104</v>
      </c>
      <c r="R9" s="5" t="s">
        <v>68</v>
      </c>
    </row>
    <row r="10" ht="43.5" customHeight="1" spans="1:18">
      <c r="A10" s="5" t="s">
        <v>105</v>
      </c>
      <c r="B10" s="5" t="s">
        <v>106</v>
      </c>
      <c r="C10" s="5" t="s">
        <v>107</v>
      </c>
      <c r="D10" s="5" t="s">
        <v>108</v>
      </c>
      <c r="E10" s="5" t="s">
        <v>59</v>
      </c>
      <c r="F10" s="5" t="s">
        <v>60</v>
      </c>
      <c r="G10" s="13">
        <v>8</v>
      </c>
      <c r="H10" s="5" t="s">
        <v>82</v>
      </c>
      <c r="I10" s="5" t="s">
        <v>73</v>
      </c>
      <c r="J10" s="11">
        <v>46184</v>
      </c>
      <c r="K10" s="11">
        <v>46185</v>
      </c>
      <c r="L10" s="5" t="s">
        <v>100</v>
      </c>
      <c r="M10" s="8">
        <v>0.8</v>
      </c>
      <c r="N10" s="5" t="s">
        <v>109</v>
      </c>
      <c r="O10" s="5" t="s">
        <v>110</v>
      </c>
      <c r="P10" s="5" t="s">
        <v>111</v>
      </c>
      <c r="Q10" s="5" t="s">
        <v>112</v>
      </c>
      <c r="R10" s="5" t="s">
        <v>68</v>
      </c>
    </row>
    <row r="11" ht="43.5" customHeight="1" spans="1:18">
      <c r="A11" s="5" t="s">
        <v>113</v>
      </c>
      <c r="B11" s="5" t="s">
        <v>114</v>
      </c>
      <c r="C11" s="5" t="s">
        <v>107</v>
      </c>
      <c r="D11" s="5" t="s">
        <v>115</v>
      </c>
      <c r="E11" s="5" t="s">
        <v>116</v>
      </c>
      <c r="F11" s="5" t="s">
        <v>117</v>
      </c>
      <c r="G11" s="13">
        <v>5</v>
      </c>
      <c r="H11" s="5" t="s">
        <v>13</v>
      </c>
      <c r="I11" s="5" t="s">
        <v>82</v>
      </c>
      <c r="J11" s="11">
        <v>46184</v>
      </c>
      <c r="K11" s="11">
        <v>46185</v>
      </c>
      <c r="L11" s="5" t="s">
        <v>83</v>
      </c>
      <c r="M11" s="8">
        <v>0.9</v>
      </c>
      <c r="N11" s="5" t="s">
        <v>118</v>
      </c>
      <c r="O11" s="5" t="s">
        <v>119</v>
      </c>
      <c r="P11" s="5" t="s">
        <v>120</v>
      </c>
      <c r="Q11" s="5" t="s">
        <v>121</v>
      </c>
      <c r="R11" s="5" t="s">
        <v>122</v>
      </c>
    </row>
    <row r="12" ht="43.5" customHeight="1" spans="1:18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59</v>
      </c>
      <c r="F12" s="5" t="s">
        <v>60</v>
      </c>
      <c r="G12" s="13">
        <v>8</v>
      </c>
      <c r="H12" s="5" t="s">
        <v>18</v>
      </c>
      <c r="I12" s="5" t="s">
        <v>127</v>
      </c>
      <c r="J12" s="11">
        <v>46184</v>
      </c>
      <c r="K12" s="11">
        <v>46185</v>
      </c>
      <c r="L12" s="5" t="s">
        <v>63</v>
      </c>
      <c r="M12" s="8">
        <v>0.95</v>
      </c>
      <c r="N12" s="5" t="s">
        <v>128</v>
      </c>
      <c r="O12" s="5" t="s">
        <v>129</v>
      </c>
      <c r="P12" s="5" t="s">
        <v>130</v>
      </c>
      <c r="Q12" s="5" t="s">
        <v>131</v>
      </c>
      <c r="R12" s="5" t="s">
        <v>68</v>
      </c>
    </row>
    <row r="13" ht="43.5" customHeight="1" spans="1:18">
      <c r="A13" s="5" t="s">
        <v>132</v>
      </c>
      <c r="B13" s="5" t="s">
        <v>133</v>
      </c>
      <c r="C13" s="5" t="s">
        <v>134</v>
      </c>
      <c r="D13" s="5" t="s">
        <v>135</v>
      </c>
      <c r="E13" s="5" t="s">
        <v>59</v>
      </c>
      <c r="F13" s="5" t="s">
        <v>60</v>
      </c>
      <c r="G13" s="13">
        <v>8</v>
      </c>
      <c r="H13" s="5" t="s">
        <v>18</v>
      </c>
      <c r="I13" s="5" t="s">
        <v>82</v>
      </c>
      <c r="J13" s="11">
        <v>46184</v>
      </c>
      <c r="K13" s="11">
        <v>46185</v>
      </c>
      <c r="L13" s="5" t="s">
        <v>100</v>
      </c>
      <c r="M13" s="8">
        <v>0.85</v>
      </c>
      <c r="N13" s="5" t="s">
        <v>136</v>
      </c>
      <c r="O13" s="5" t="s">
        <v>137</v>
      </c>
      <c r="P13" s="5" t="s">
        <v>138</v>
      </c>
      <c r="Q13" s="5" t="s">
        <v>139</v>
      </c>
      <c r="R13" s="5" t="s">
        <v>68</v>
      </c>
    </row>
    <row r="14" ht="43.5" customHeight="1" spans="1:18">
      <c r="A14" s="5" t="s">
        <v>140</v>
      </c>
      <c r="B14" s="5" t="s">
        <v>141</v>
      </c>
      <c r="C14" s="5" t="s">
        <v>142</v>
      </c>
      <c r="D14" s="5" t="s">
        <v>143</v>
      </c>
      <c r="E14" s="5" t="s">
        <v>59</v>
      </c>
      <c r="F14" s="5" t="s">
        <v>60</v>
      </c>
      <c r="G14" s="13">
        <v>6</v>
      </c>
      <c r="H14" s="5" t="s">
        <v>18</v>
      </c>
      <c r="I14" s="5" t="s">
        <v>13</v>
      </c>
      <c r="J14" s="11">
        <v>46185</v>
      </c>
      <c r="K14" s="11">
        <v>46185</v>
      </c>
      <c r="L14" s="5" t="s">
        <v>63</v>
      </c>
      <c r="M14" s="8">
        <v>1</v>
      </c>
      <c r="N14" s="5" t="s">
        <v>144</v>
      </c>
      <c r="O14" s="5" t="s">
        <v>145</v>
      </c>
      <c r="P14" s="5" t="s">
        <v>146</v>
      </c>
      <c r="Q14" s="5" t="s">
        <v>147</v>
      </c>
      <c r="R14" s="5" t="s">
        <v>68</v>
      </c>
    </row>
    <row r="15" ht="43.5" customHeight="1" spans="1:18">
      <c r="A15" s="5" t="s">
        <v>148</v>
      </c>
      <c r="B15" s="5" t="s">
        <v>149</v>
      </c>
      <c r="C15" s="5" t="s">
        <v>107</v>
      </c>
      <c r="D15" s="5" t="s">
        <v>150</v>
      </c>
      <c r="E15" s="5" t="s">
        <v>116</v>
      </c>
      <c r="F15" s="5" t="s">
        <v>117</v>
      </c>
      <c r="G15" s="13">
        <v>4</v>
      </c>
      <c r="H15" s="5" t="s">
        <v>82</v>
      </c>
      <c r="I15" s="5" t="s">
        <v>22</v>
      </c>
      <c r="J15" s="11">
        <v>46185</v>
      </c>
      <c r="K15" s="11"/>
      <c r="L15" s="5" t="s">
        <v>151</v>
      </c>
      <c r="M15" s="8">
        <v>0.65</v>
      </c>
      <c r="N15" s="5" t="s">
        <v>152</v>
      </c>
      <c r="O15" s="5" t="s">
        <v>153</v>
      </c>
      <c r="P15" s="5" t="s">
        <v>154</v>
      </c>
      <c r="Q15" s="5" t="s">
        <v>155</v>
      </c>
      <c r="R15" s="5" t="s">
        <v>122</v>
      </c>
    </row>
    <row r="16" ht="43.5" customHeight="1" spans="1:18">
      <c r="A16" s="5" t="s">
        <v>156</v>
      </c>
      <c r="B16" s="5" t="s">
        <v>157</v>
      </c>
      <c r="C16" s="5" t="s">
        <v>107</v>
      </c>
      <c r="D16" s="5" t="s">
        <v>158</v>
      </c>
      <c r="E16" s="5" t="s">
        <v>116</v>
      </c>
      <c r="F16" s="5" t="s">
        <v>117</v>
      </c>
      <c r="G16" s="13">
        <v>4</v>
      </c>
      <c r="H16" s="5" t="s">
        <v>13</v>
      </c>
      <c r="I16" s="5" t="s">
        <v>82</v>
      </c>
      <c r="J16" s="11">
        <v>46185</v>
      </c>
      <c r="K16" s="11"/>
      <c r="L16" s="5" t="s">
        <v>151</v>
      </c>
      <c r="M16" s="8">
        <v>0.6</v>
      </c>
      <c r="N16" s="5" t="s">
        <v>159</v>
      </c>
      <c r="O16" s="5" t="s">
        <v>160</v>
      </c>
      <c r="P16" s="5" t="s">
        <v>161</v>
      </c>
      <c r="Q16" s="5" t="s">
        <v>162</v>
      </c>
      <c r="R16" s="5" t="s">
        <v>122</v>
      </c>
    </row>
    <row r="17" ht="43.5" customHeight="1" spans="1:18">
      <c r="A17" s="5" t="s">
        <v>163</v>
      </c>
      <c r="B17" s="5" t="s">
        <v>164</v>
      </c>
      <c r="C17" s="5" t="s">
        <v>107</v>
      </c>
      <c r="D17" s="5" t="s">
        <v>165</v>
      </c>
      <c r="E17" s="5" t="s">
        <v>116</v>
      </c>
      <c r="F17" s="5" t="s">
        <v>166</v>
      </c>
      <c r="G17" s="13">
        <v>3</v>
      </c>
      <c r="H17" s="5" t="s">
        <v>82</v>
      </c>
      <c r="I17" s="5" t="s">
        <v>13</v>
      </c>
      <c r="J17" s="11">
        <v>46185</v>
      </c>
      <c r="K17" s="11"/>
      <c r="L17" s="5" t="s">
        <v>167</v>
      </c>
      <c r="M17" s="8">
        <v>0.3</v>
      </c>
      <c r="N17" s="5" t="s">
        <v>168</v>
      </c>
      <c r="O17" s="5" t="s">
        <v>169</v>
      </c>
      <c r="P17" s="5" t="s">
        <v>170</v>
      </c>
      <c r="Q17" s="5" t="s">
        <v>171</v>
      </c>
      <c r="R17" s="5" t="s">
        <v>122</v>
      </c>
    </row>
    <row r="18" ht="43.5" customHeight="1" spans="1:18">
      <c r="A18" s="5" t="s">
        <v>172</v>
      </c>
      <c r="B18" s="5" t="s">
        <v>173</v>
      </c>
      <c r="C18" s="5" t="s">
        <v>107</v>
      </c>
      <c r="D18" s="5" t="s">
        <v>174</v>
      </c>
      <c r="E18" s="5" t="s">
        <v>116</v>
      </c>
      <c r="F18" s="5" t="s">
        <v>166</v>
      </c>
      <c r="G18" s="13">
        <v>5</v>
      </c>
      <c r="H18" s="5" t="s">
        <v>61</v>
      </c>
      <c r="I18" s="5" t="s">
        <v>82</v>
      </c>
      <c r="J18" s="11">
        <v>46185</v>
      </c>
      <c r="K18" s="11"/>
      <c r="L18" s="5" t="s">
        <v>100</v>
      </c>
      <c r="M18" s="8">
        <v>0.5</v>
      </c>
      <c r="N18" s="5" t="s">
        <v>175</v>
      </c>
      <c r="O18" s="5" t="s">
        <v>176</v>
      </c>
      <c r="P18" s="5" t="s">
        <v>177</v>
      </c>
      <c r="Q18" s="5" t="s">
        <v>178</v>
      </c>
      <c r="R18" s="5" t="s">
        <v>122</v>
      </c>
    </row>
    <row r="19" ht="43.5" customHeight="1" spans="1:18">
      <c r="A19" s="5" t="s">
        <v>179</v>
      </c>
      <c r="B19" s="5" t="s">
        <v>180</v>
      </c>
      <c r="C19" s="5" t="s">
        <v>181</v>
      </c>
      <c r="D19" s="5" t="s">
        <v>182</v>
      </c>
      <c r="E19" s="5" t="s">
        <v>116</v>
      </c>
      <c r="F19" s="5" t="s">
        <v>117</v>
      </c>
      <c r="G19" s="13">
        <v>4</v>
      </c>
      <c r="H19" s="5" t="s">
        <v>82</v>
      </c>
      <c r="I19" s="5" t="s">
        <v>22</v>
      </c>
      <c r="J19" s="11">
        <v>46185</v>
      </c>
      <c r="K19" s="11"/>
      <c r="L19" s="5" t="s">
        <v>100</v>
      </c>
      <c r="M19" s="8">
        <v>0.7</v>
      </c>
      <c r="N19" s="5" t="s">
        <v>183</v>
      </c>
      <c r="O19" s="5" t="s">
        <v>184</v>
      </c>
      <c r="P19" s="5" t="s">
        <v>185</v>
      </c>
      <c r="Q19" s="5" t="s">
        <v>186</v>
      </c>
      <c r="R19" s="5" t="s">
        <v>122</v>
      </c>
    </row>
    <row r="20" ht="43.5" customHeight="1" spans="1:18">
      <c r="A20" s="5" t="s">
        <v>187</v>
      </c>
      <c r="B20" s="5" t="s">
        <v>188</v>
      </c>
      <c r="C20" s="5" t="s">
        <v>189</v>
      </c>
      <c r="D20" s="5" t="s">
        <v>190</v>
      </c>
      <c r="E20" s="5" t="s">
        <v>116</v>
      </c>
      <c r="F20" s="5" t="s">
        <v>117</v>
      </c>
      <c r="G20" s="13">
        <v>4</v>
      </c>
      <c r="H20" s="5" t="s">
        <v>191</v>
      </c>
      <c r="I20" s="5" t="s">
        <v>62</v>
      </c>
      <c r="J20" s="11">
        <v>46185</v>
      </c>
      <c r="K20" s="11"/>
      <c r="L20" s="5" t="s">
        <v>151</v>
      </c>
      <c r="M20" s="8">
        <v>0.6</v>
      </c>
      <c r="N20" s="5" t="s">
        <v>192</v>
      </c>
      <c r="O20" s="5" t="s">
        <v>193</v>
      </c>
      <c r="P20" s="5" t="s">
        <v>194</v>
      </c>
      <c r="Q20" s="5" t="s">
        <v>195</v>
      </c>
      <c r="R20" s="5" t="s">
        <v>122</v>
      </c>
    </row>
    <row r="21" ht="43.5" customHeight="1" spans="1:18">
      <c r="A21" s="5" t="s">
        <v>196</v>
      </c>
      <c r="B21" s="5" t="s">
        <v>197</v>
      </c>
      <c r="C21" s="5" t="s">
        <v>198</v>
      </c>
      <c r="D21" s="5" t="s">
        <v>199</v>
      </c>
      <c r="E21" s="5" t="s">
        <v>59</v>
      </c>
      <c r="F21" s="5" t="s">
        <v>60</v>
      </c>
      <c r="G21" s="13">
        <v>3</v>
      </c>
      <c r="H21" s="5" t="s">
        <v>62</v>
      </c>
      <c r="I21" s="5" t="s">
        <v>22</v>
      </c>
      <c r="J21" s="11">
        <v>46185</v>
      </c>
      <c r="K21" s="11">
        <v>46185</v>
      </c>
      <c r="L21" s="5" t="s">
        <v>63</v>
      </c>
      <c r="M21" s="8">
        <v>1</v>
      </c>
      <c r="N21" s="5" t="s">
        <v>200</v>
      </c>
      <c r="O21" s="5" t="s">
        <v>201</v>
      </c>
      <c r="P21" s="5" t="s">
        <v>202</v>
      </c>
      <c r="Q21" s="5" t="s">
        <v>203</v>
      </c>
      <c r="R21" s="5" t="s">
        <v>68</v>
      </c>
    </row>
    <row r="22" ht="43.5" customHeight="1" spans="1:18">
      <c r="A22" s="5" t="s">
        <v>204</v>
      </c>
      <c r="B22" s="5" t="s">
        <v>205</v>
      </c>
      <c r="C22" s="5" t="s">
        <v>206</v>
      </c>
      <c r="D22" s="5" t="s">
        <v>207</v>
      </c>
      <c r="E22" s="5" t="s">
        <v>59</v>
      </c>
      <c r="F22" s="5" t="s">
        <v>60</v>
      </c>
      <c r="G22" s="13">
        <v>5</v>
      </c>
      <c r="H22" s="5" t="s">
        <v>22</v>
      </c>
      <c r="I22" s="5" t="s">
        <v>208</v>
      </c>
      <c r="J22" s="11">
        <v>46185</v>
      </c>
      <c r="K22" s="11">
        <v>46185</v>
      </c>
      <c r="L22" s="5" t="s">
        <v>83</v>
      </c>
      <c r="M22" s="8">
        <v>0.9</v>
      </c>
      <c r="N22" s="5" t="s">
        <v>209</v>
      </c>
      <c r="O22" s="5" t="s">
        <v>210</v>
      </c>
      <c r="P22" s="5" t="s">
        <v>211</v>
      </c>
      <c r="Q22" s="5" t="s">
        <v>212</v>
      </c>
      <c r="R22" s="5" t="s">
        <v>68</v>
      </c>
    </row>
    <row r="23" ht="43.5" customHeight="1" spans="1:18">
      <c r="A23" s="5" t="s">
        <v>213</v>
      </c>
      <c r="B23" s="5" t="s">
        <v>214</v>
      </c>
      <c r="C23" s="5" t="s">
        <v>215</v>
      </c>
      <c r="D23" s="5" t="s">
        <v>216</v>
      </c>
      <c r="E23" s="5" t="s">
        <v>116</v>
      </c>
      <c r="F23" s="5" t="s">
        <v>60</v>
      </c>
      <c r="G23" s="13">
        <v>3</v>
      </c>
      <c r="H23" s="5" t="s">
        <v>22</v>
      </c>
      <c r="I23" s="5" t="s">
        <v>18</v>
      </c>
      <c r="J23" s="11">
        <v>46185</v>
      </c>
      <c r="K23" s="11">
        <v>46185</v>
      </c>
      <c r="L23" s="5" t="s">
        <v>63</v>
      </c>
      <c r="M23" s="8">
        <v>1</v>
      </c>
      <c r="N23" s="5" t="s">
        <v>217</v>
      </c>
      <c r="O23" s="5" t="s">
        <v>218</v>
      </c>
      <c r="P23" s="5" t="s">
        <v>219</v>
      </c>
      <c r="Q23" s="5" t="s">
        <v>220</v>
      </c>
      <c r="R23" s="5" t="s">
        <v>68</v>
      </c>
    </row>
    <row r="24" ht="43.5" customHeight="1" spans="1:18">
      <c r="A24" s="5" t="s">
        <v>221</v>
      </c>
      <c r="B24" s="5" t="s">
        <v>222</v>
      </c>
      <c r="C24" s="5" t="s">
        <v>206</v>
      </c>
      <c r="D24" s="5" t="s">
        <v>223</v>
      </c>
      <c r="E24" s="5" t="s">
        <v>59</v>
      </c>
      <c r="F24" s="5" t="s">
        <v>60</v>
      </c>
      <c r="G24" s="13">
        <v>3</v>
      </c>
      <c r="H24" s="5" t="s">
        <v>22</v>
      </c>
      <c r="I24" s="5" t="s">
        <v>224</v>
      </c>
      <c r="J24" s="11">
        <v>46185</v>
      </c>
      <c r="K24" s="11"/>
      <c r="L24" s="5" t="s">
        <v>151</v>
      </c>
      <c r="M24" s="8">
        <v>0.75</v>
      </c>
      <c r="N24" s="5" t="s">
        <v>225</v>
      </c>
      <c r="O24" s="5" t="s">
        <v>226</v>
      </c>
      <c r="P24" s="5" t="s">
        <v>227</v>
      </c>
      <c r="Q24" s="5" t="s">
        <v>228</v>
      </c>
      <c r="R24" s="5" t="s">
        <v>68</v>
      </c>
    </row>
  </sheetData>
  <mergeCells count="2">
    <mergeCell ref="A1:R1"/>
    <mergeCell ref="A2:R2"/>
  </mergeCells>
  <conditionalFormatting sqref="E5:E24">
    <cfRule type="containsText" dxfId="0" priority="7" operator="between" text="高">
      <formula>NOT(ISERROR(SEARCH("高",E5)))</formula>
    </cfRule>
    <cfRule type="containsText" dxfId="1" priority="8" operator="between" text="中">
      <formula>NOT(ISERROR(SEARCH("中",E5)))</formula>
    </cfRule>
    <cfRule type="containsText" dxfId="2" priority="9" operator="between" text="低">
      <formula>NOT(ISERROR(SEARCH("低",E5)))</formula>
    </cfRule>
  </conditionalFormatting>
  <conditionalFormatting sqref="L5:L24">
    <cfRule type="containsText" dxfId="3" priority="1" operator="between" text="验收通过">
      <formula>NOT(ISERROR(SEARCH("验收通过",L5)))</formula>
    </cfRule>
    <cfRule type="containsText" dxfId="4" priority="2" operator="between" text="待验收">
      <formula>NOT(ISERROR(SEARCH("待验收",L5)))</formula>
    </cfRule>
    <cfRule type="containsText" dxfId="5" priority="3" operator="between" text="待优化">
      <formula>NOT(ISERROR(SEARCH("待优化",L5)))</formula>
    </cfRule>
    <cfRule type="containsText" dxfId="6" priority="4" operator="between" text="联调中">
      <formula>NOT(ISERROR(SEARCH("联调中",L5)))</formula>
    </cfRule>
    <cfRule type="containsText" dxfId="7" priority="5" operator="between" text="待开发">
      <formula>NOT(ISERROR(SEARCH("待开发",L5)))</formula>
    </cfRule>
    <cfRule type="containsText" dxfId="0" priority="6" operator="between" text="验收不通过">
      <formula>NOT(ISERROR(SEARCH("验收不通过",L5)))</formula>
    </cfRule>
  </conditionalFormatting>
  <conditionalFormatting sqref="M5:M24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{2689b3c1-031e-405b-b32c-3821e5af2270}</x14:id>
        </ext>
      </extLst>
    </cfRule>
  </conditionalFormatting>
  <dataValidations count="3">
    <dataValidation type="list" sqref="E5:E24">
      <formula1>"高,中,低"</formula1>
    </dataValidation>
    <dataValidation type="list" sqref="F5:F24">
      <formula1>"Must,Should,Could,Won't"</formula1>
    </dataValidation>
    <dataValidation type="list" sqref="L5:L24">
      <formula1>"待开发,开发中,联调中,待验收,待优化,验收通过,验收不通过,已取消"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89b3c1-031e-405b-b32c-3821e5af227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M5:M24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showGridLines="0" topLeftCell="C1" workbookViewId="0">
      <selection activeCell="N9" sqref="N9"/>
    </sheetView>
  </sheetViews>
  <sheetFormatPr defaultColWidth="9" defaultRowHeight="13.8"/>
  <cols>
    <col min="1" max="1" width="13.1333333333333" customWidth="1"/>
    <col min="2" max="2" width="30" customWidth="1"/>
    <col min="3" max="3" width="16.25" customWidth="1"/>
    <col min="4" max="4" width="13.1333333333333" customWidth="1"/>
    <col min="5" max="5" width="12.5" customWidth="1"/>
    <col min="6" max="6" width="40" customWidth="1"/>
    <col min="7" max="8" width="13.1333333333333" customWidth="1"/>
    <col min="9" max="9" width="11.8833333333333" customWidth="1"/>
    <col min="10" max="10" width="37.5" customWidth="1"/>
    <col min="11" max="11" width="23.75" customWidth="1"/>
    <col min="12" max="12" width="20" customWidth="1"/>
    <col min="13" max="13" width="15" customWidth="1"/>
  </cols>
  <sheetData>
    <row r="1" ht="25.8" spans="1:13">
      <c r="A1" s="1" t="s">
        <v>229</v>
      </c>
      <c r="B1" s="1" t="s">
        <v>229</v>
      </c>
      <c r="C1" s="1" t="s">
        <v>229</v>
      </c>
      <c r="D1" s="1" t="s">
        <v>229</v>
      </c>
      <c r="E1" s="1" t="s">
        <v>229</v>
      </c>
      <c r="F1" s="1" t="s">
        <v>229</v>
      </c>
      <c r="G1" s="1" t="s">
        <v>229</v>
      </c>
      <c r="H1" s="1" t="s">
        <v>229</v>
      </c>
      <c r="I1" s="1" t="s">
        <v>229</v>
      </c>
      <c r="J1" s="1" t="s">
        <v>229</v>
      </c>
      <c r="K1" s="1" t="s">
        <v>229</v>
      </c>
      <c r="L1" s="1" t="s">
        <v>229</v>
      </c>
      <c r="M1" s="1" t="s">
        <v>229</v>
      </c>
    </row>
    <row r="2" ht="15" spans="1:13">
      <c r="A2" s="2" t="s">
        <v>230</v>
      </c>
      <c r="B2" s="2" t="s">
        <v>230</v>
      </c>
      <c r="C2" s="2" t="s">
        <v>230</v>
      </c>
      <c r="D2" s="2" t="s">
        <v>230</v>
      </c>
      <c r="E2" s="2" t="s">
        <v>230</v>
      </c>
      <c r="F2" s="2" t="s">
        <v>230</v>
      </c>
      <c r="G2" s="2" t="s">
        <v>230</v>
      </c>
      <c r="H2" s="2" t="s">
        <v>230</v>
      </c>
      <c r="I2" s="2" t="s">
        <v>230</v>
      </c>
      <c r="J2" s="2" t="s">
        <v>230</v>
      </c>
      <c r="K2" s="2" t="s">
        <v>230</v>
      </c>
      <c r="L2" s="2" t="s">
        <v>230</v>
      </c>
      <c r="M2" s="2" t="s">
        <v>230</v>
      </c>
    </row>
    <row r="3" ht="15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6" spans="1:13">
      <c r="A4" s="4" t="s">
        <v>231</v>
      </c>
      <c r="B4" s="4" t="s">
        <v>232</v>
      </c>
      <c r="C4" s="4" t="s">
        <v>40</v>
      </c>
      <c r="D4" s="4" t="s">
        <v>233</v>
      </c>
      <c r="E4" s="4" t="s">
        <v>234</v>
      </c>
      <c r="F4" s="4" t="s">
        <v>235</v>
      </c>
      <c r="G4" s="4" t="s">
        <v>236</v>
      </c>
      <c r="H4" s="4" t="s">
        <v>237</v>
      </c>
      <c r="I4" s="4" t="s">
        <v>238</v>
      </c>
      <c r="J4" s="4" t="s">
        <v>239</v>
      </c>
      <c r="K4" s="4" t="s">
        <v>240</v>
      </c>
      <c r="L4" s="4" t="s">
        <v>241</v>
      </c>
      <c r="M4" s="4" t="s">
        <v>10</v>
      </c>
    </row>
    <row r="5" ht="43.5" customHeight="1" spans="1:13">
      <c r="A5" s="5" t="s">
        <v>242</v>
      </c>
      <c r="B5" s="5" t="s">
        <v>243</v>
      </c>
      <c r="C5" s="5" t="s">
        <v>57</v>
      </c>
      <c r="D5" s="5" t="s">
        <v>244</v>
      </c>
      <c r="E5" s="5" t="s">
        <v>61</v>
      </c>
      <c r="F5" s="5" t="s">
        <v>245</v>
      </c>
      <c r="G5" s="11">
        <v>46183</v>
      </c>
      <c r="H5" s="11">
        <v>46183</v>
      </c>
      <c r="I5" s="5" t="s">
        <v>63</v>
      </c>
      <c r="J5" s="5" t="s">
        <v>246</v>
      </c>
      <c r="K5" s="5" t="s">
        <v>55</v>
      </c>
      <c r="L5" s="5" t="s">
        <v>58</v>
      </c>
      <c r="M5" s="5" t="s">
        <v>247</v>
      </c>
    </row>
    <row r="6" ht="43.5" customHeight="1" spans="1:13">
      <c r="A6" s="5" t="s">
        <v>248</v>
      </c>
      <c r="B6" s="5" t="s">
        <v>249</v>
      </c>
      <c r="C6" s="5" t="s">
        <v>71</v>
      </c>
      <c r="D6" s="5" t="s">
        <v>244</v>
      </c>
      <c r="E6" s="5" t="s">
        <v>62</v>
      </c>
      <c r="F6" s="5" t="s">
        <v>250</v>
      </c>
      <c r="G6" s="11">
        <v>46183</v>
      </c>
      <c r="H6" s="11">
        <v>46183</v>
      </c>
      <c r="I6" s="5" t="s">
        <v>63</v>
      </c>
      <c r="J6" s="5" t="s">
        <v>251</v>
      </c>
      <c r="K6" s="5" t="s">
        <v>69</v>
      </c>
      <c r="L6" s="5" t="s">
        <v>72</v>
      </c>
      <c r="M6" s="5" t="s">
        <v>247</v>
      </c>
    </row>
    <row r="7" ht="43.5" customHeight="1" spans="1:13">
      <c r="A7" s="5" t="s">
        <v>252</v>
      </c>
      <c r="B7" s="5" t="s">
        <v>253</v>
      </c>
      <c r="C7" s="5" t="s">
        <v>80</v>
      </c>
      <c r="D7" s="5" t="s">
        <v>244</v>
      </c>
      <c r="E7" s="5" t="s">
        <v>13</v>
      </c>
      <c r="F7" s="5" t="s">
        <v>254</v>
      </c>
      <c r="G7" s="11">
        <v>46184</v>
      </c>
      <c r="H7" s="11"/>
      <c r="I7" s="5" t="s">
        <v>83</v>
      </c>
      <c r="J7" s="5" t="s">
        <v>255</v>
      </c>
      <c r="K7" s="5" t="s">
        <v>78</v>
      </c>
      <c r="L7" s="5" t="s">
        <v>81</v>
      </c>
      <c r="M7" s="5" t="s">
        <v>247</v>
      </c>
    </row>
    <row r="8" ht="43.5" customHeight="1" spans="1:13">
      <c r="A8" s="5" t="s">
        <v>256</v>
      </c>
      <c r="B8" s="5" t="s">
        <v>257</v>
      </c>
      <c r="C8" s="5" t="s">
        <v>90</v>
      </c>
      <c r="D8" s="5" t="s">
        <v>244</v>
      </c>
      <c r="E8" s="5" t="s">
        <v>13</v>
      </c>
      <c r="F8" s="5" t="s">
        <v>258</v>
      </c>
      <c r="G8" s="11">
        <v>46184</v>
      </c>
      <c r="H8" s="11">
        <v>46184</v>
      </c>
      <c r="I8" s="5" t="s">
        <v>63</v>
      </c>
      <c r="J8" s="5" t="s">
        <v>259</v>
      </c>
      <c r="K8" s="5" t="s">
        <v>88</v>
      </c>
      <c r="L8" s="5" t="s">
        <v>91</v>
      </c>
      <c r="M8" s="5" t="s">
        <v>247</v>
      </c>
    </row>
    <row r="9" ht="43.5" customHeight="1" spans="1:13">
      <c r="A9" s="5" t="s">
        <v>260</v>
      </c>
      <c r="B9" s="5" t="s">
        <v>261</v>
      </c>
      <c r="C9" s="5" t="s">
        <v>90</v>
      </c>
      <c r="D9" s="5" t="s">
        <v>244</v>
      </c>
      <c r="E9" s="5" t="s">
        <v>82</v>
      </c>
      <c r="F9" s="5" t="s">
        <v>262</v>
      </c>
      <c r="G9" s="11">
        <v>46184</v>
      </c>
      <c r="H9" s="11"/>
      <c r="I9" s="5" t="s">
        <v>100</v>
      </c>
      <c r="J9" s="5" t="s">
        <v>263</v>
      </c>
      <c r="K9" s="5" t="s">
        <v>97</v>
      </c>
      <c r="L9" s="5" t="s">
        <v>99</v>
      </c>
      <c r="M9" s="5" t="s">
        <v>247</v>
      </c>
    </row>
    <row r="10" ht="43.5" customHeight="1" spans="1:13">
      <c r="A10" s="5" t="s">
        <v>264</v>
      </c>
      <c r="B10" s="5" t="s">
        <v>265</v>
      </c>
      <c r="C10" s="5" t="s">
        <v>107</v>
      </c>
      <c r="D10" s="5" t="s">
        <v>244</v>
      </c>
      <c r="E10" s="5" t="s">
        <v>82</v>
      </c>
      <c r="F10" s="5" t="s">
        <v>266</v>
      </c>
      <c r="G10" s="11">
        <v>46185</v>
      </c>
      <c r="H10" s="11"/>
      <c r="I10" s="5" t="s">
        <v>100</v>
      </c>
      <c r="J10" s="5" t="s">
        <v>267</v>
      </c>
      <c r="K10" s="5" t="s">
        <v>105</v>
      </c>
      <c r="L10" s="5" t="s">
        <v>108</v>
      </c>
      <c r="M10" s="5" t="s">
        <v>247</v>
      </c>
    </row>
    <row r="11" ht="43.5" customHeight="1" spans="1:13">
      <c r="A11" s="5" t="s">
        <v>268</v>
      </c>
      <c r="B11" s="5" t="s">
        <v>269</v>
      </c>
      <c r="C11" s="5" t="s">
        <v>107</v>
      </c>
      <c r="D11" s="5" t="s">
        <v>244</v>
      </c>
      <c r="E11" s="5" t="s">
        <v>13</v>
      </c>
      <c r="F11" s="5" t="s">
        <v>270</v>
      </c>
      <c r="G11" s="11">
        <v>46185</v>
      </c>
      <c r="H11" s="11"/>
      <c r="I11" s="5" t="s">
        <v>83</v>
      </c>
      <c r="J11" s="5" t="s">
        <v>271</v>
      </c>
      <c r="K11" s="5" t="s">
        <v>113</v>
      </c>
      <c r="L11" s="5" t="s">
        <v>115</v>
      </c>
      <c r="M11" s="5" t="s">
        <v>247</v>
      </c>
    </row>
    <row r="12" ht="43.5" customHeight="1" spans="1:13">
      <c r="A12" s="5" t="s">
        <v>272</v>
      </c>
      <c r="B12" s="5" t="s">
        <v>124</v>
      </c>
      <c r="C12" s="5" t="s">
        <v>125</v>
      </c>
      <c r="D12" s="5" t="s">
        <v>244</v>
      </c>
      <c r="E12" s="5" t="s">
        <v>18</v>
      </c>
      <c r="F12" s="5" t="s">
        <v>273</v>
      </c>
      <c r="G12" s="11">
        <v>46185</v>
      </c>
      <c r="H12" s="11">
        <v>46185</v>
      </c>
      <c r="I12" s="5" t="s">
        <v>63</v>
      </c>
      <c r="J12" s="5" t="s">
        <v>274</v>
      </c>
      <c r="K12" s="5" t="s">
        <v>123</v>
      </c>
      <c r="L12" s="5" t="s">
        <v>126</v>
      </c>
      <c r="M12" s="5" t="s">
        <v>247</v>
      </c>
    </row>
    <row r="13" ht="43.5" customHeight="1" spans="1:13">
      <c r="A13" s="5" t="s">
        <v>275</v>
      </c>
      <c r="B13" s="5" t="s">
        <v>276</v>
      </c>
      <c r="C13" s="5" t="s">
        <v>134</v>
      </c>
      <c r="D13" s="5" t="s">
        <v>244</v>
      </c>
      <c r="E13" s="5" t="s">
        <v>18</v>
      </c>
      <c r="F13" s="5" t="s">
        <v>277</v>
      </c>
      <c r="G13" s="11">
        <v>46185</v>
      </c>
      <c r="H13" s="11"/>
      <c r="I13" s="5" t="s">
        <v>100</v>
      </c>
      <c r="J13" s="5" t="s">
        <v>278</v>
      </c>
      <c r="K13" s="5" t="s">
        <v>132</v>
      </c>
      <c r="L13" s="5" t="s">
        <v>135</v>
      </c>
      <c r="M13" s="5" t="s">
        <v>247</v>
      </c>
    </row>
    <row r="14" ht="43.5" customHeight="1" spans="1:13">
      <c r="A14" s="5" t="s">
        <v>279</v>
      </c>
      <c r="B14" s="5" t="s">
        <v>141</v>
      </c>
      <c r="C14" s="5" t="s">
        <v>142</v>
      </c>
      <c r="D14" s="5" t="s">
        <v>244</v>
      </c>
      <c r="E14" s="5" t="s">
        <v>18</v>
      </c>
      <c r="F14" s="5" t="s">
        <v>280</v>
      </c>
      <c r="G14" s="11">
        <v>46185</v>
      </c>
      <c r="H14" s="11">
        <v>46185</v>
      </c>
      <c r="I14" s="5" t="s">
        <v>63</v>
      </c>
      <c r="J14" s="5" t="s">
        <v>281</v>
      </c>
      <c r="K14" s="5" t="s">
        <v>140</v>
      </c>
      <c r="L14" s="5" t="s">
        <v>143</v>
      </c>
      <c r="M14" s="5" t="s">
        <v>247</v>
      </c>
    </row>
    <row r="15" ht="43.5" customHeight="1" spans="1:13">
      <c r="A15" s="5" t="s">
        <v>282</v>
      </c>
      <c r="B15" s="5" t="s">
        <v>149</v>
      </c>
      <c r="C15" s="5" t="s">
        <v>107</v>
      </c>
      <c r="D15" s="5" t="s">
        <v>244</v>
      </c>
      <c r="E15" s="5" t="s">
        <v>82</v>
      </c>
      <c r="F15" s="5" t="s">
        <v>283</v>
      </c>
      <c r="G15" s="11">
        <v>46185</v>
      </c>
      <c r="H15" s="11"/>
      <c r="I15" s="5" t="s">
        <v>151</v>
      </c>
      <c r="J15" s="5" t="s">
        <v>284</v>
      </c>
      <c r="K15" s="5" t="s">
        <v>148</v>
      </c>
      <c r="L15" s="5" t="s">
        <v>150</v>
      </c>
      <c r="M15" s="5" t="s">
        <v>247</v>
      </c>
    </row>
    <row r="16" ht="43.5" customHeight="1" spans="1:13">
      <c r="A16" s="5" t="s">
        <v>285</v>
      </c>
      <c r="B16" s="5" t="s">
        <v>157</v>
      </c>
      <c r="C16" s="5" t="s">
        <v>107</v>
      </c>
      <c r="D16" s="5" t="s">
        <v>244</v>
      </c>
      <c r="E16" s="5" t="s">
        <v>13</v>
      </c>
      <c r="F16" s="5" t="s">
        <v>286</v>
      </c>
      <c r="G16" s="11">
        <v>46185</v>
      </c>
      <c r="H16" s="11"/>
      <c r="I16" s="5" t="s">
        <v>151</v>
      </c>
      <c r="J16" s="5" t="s">
        <v>287</v>
      </c>
      <c r="K16" s="5" t="s">
        <v>156</v>
      </c>
      <c r="L16" s="5" t="s">
        <v>158</v>
      </c>
      <c r="M16" s="5" t="s">
        <v>247</v>
      </c>
    </row>
    <row r="17" ht="43.5" customHeight="1" spans="1:13">
      <c r="A17" s="5" t="s">
        <v>288</v>
      </c>
      <c r="B17" s="5" t="s">
        <v>164</v>
      </c>
      <c r="C17" s="5" t="s">
        <v>107</v>
      </c>
      <c r="D17" s="5" t="s">
        <v>244</v>
      </c>
      <c r="E17" s="5" t="s">
        <v>82</v>
      </c>
      <c r="F17" s="5" t="s">
        <v>289</v>
      </c>
      <c r="G17" s="11">
        <v>46185</v>
      </c>
      <c r="H17" s="11"/>
      <c r="I17" s="5" t="s">
        <v>167</v>
      </c>
      <c r="J17" s="5" t="s">
        <v>290</v>
      </c>
      <c r="K17" s="5" t="s">
        <v>163</v>
      </c>
      <c r="L17" s="5" t="s">
        <v>165</v>
      </c>
      <c r="M17" s="5" t="s">
        <v>247</v>
      </c>
    </row>
    <row r="18" ht="43.5" customHeight="1" spans="1:13">
      <c r="A18" s="5" t="s">
        <v>291</v>
      </c>
      <c r="B18" s="5" t="s">
        <v>173</v>
      </c>
      <c r="C18" s="5" t="s">
        <v>107</v>
      </c>
      <c r="D18" s="5" t="s">
        <v>244</v>
      </c>
      <c r="E18" s="5" t="s">
        <v>61</v>
      </c>
      <c r="F18" s="5" t="s">
        <v>292</v>
      </c>
      <c r="G18" s="11">
        <v>46185</v>
      </c>
      <c r="H18" s="11"/>
      <c r="I18" s="5" t="s">
        <v>100</v>
      </c>
      <c r="J18" s="5" t="s">
        <v>293</v>
      </c>
      <c r="K18" s="5" t="s">
        <v>172</v>
      </c>
      <c r="L18" s="5" t="s">
        <v>174</v>
      </c>
      <c r="M18" s="5" t="s">
        <v>247</v>
      </c>
    </row>
    <row r="19" ht="43.5" customHeight="1" spans="1:13">
      <c r="A19" s="5" t="s">
        <v>184</v>
      </c>
      <c r="B19" s="5" t="s">
        <v>180</v>
      </c>
      <c r="C19" s="5" t="s">
        <v>181</v>
      </c>
      <c r="D19" s="5" t="s">
        <v>244</v>
      </c>
      <c r="E19" s="5" t="s">
        <v>82</v>
      </c>
      <c r="F19" s="5" t="s">
        <v>294</v>
      </c>
      <c r="G19" s="11">
        <v>46185</v>
      </c>
      <c r="H19" s="11"/>
      <c r="I19" s="5" t="s">
        <v>100</v>
      </c>
      <c r="J19" s="5" t="s">
        <v>295</v>
      </c>
      <c r="K19" s="5" t="s">
        <v>179</v>
      </c>
      <c r="L19" s="5" t="s">
        <v>182</v>
      </c>
      <c r="M19" s="5" t="s">
        <v>247</v>
      </c>
    </row>
    <row r="20" ht="43.5" customHeight="1" spans="1:13">
      <c r="A20" s="5" t="s">
        <v>296</v>
      </c>
      <c r="B20" s="5" t="s">
        <v>297</v>
      </c>
      <c r="C20" s="5" t="s">
        <v>57</v>
      </c>
      <c r="D20" s="5" t="s">
        <v>298</v>
      </c>
      <c r="E20" s="5" t="s">
        <v>61</v>
      </c>
      <c r="F20" s="5" t="s">
        <v>299</v>
      </c>
      <c r="G20" s="11">
        <v>46183</v>
      </c>
      <c r="H20" s="11">
        <v>46183</v>
      </c>
      <c r="I20" s="5" t="s">
        <v>63</v>
      </c>
      <c r="J20" s="5" t="s">
        <v>300</v>
      </c>
      <c r="K20" s="5" t="s">
        <v>55</v>
      </c>
      <c r="L20" s="5" t="s">
        <v>58</v>
      </c>
      <c r="M20" s="5" t="s">
        <v>247</v>
      </c>
    </row>
    <row r="21" ht="43.5" customHeight="1" spans="1:13">
      <c r="A21" s="5" t="s">
        <v>301</v>
      </c>
      <c r="B21" s="5" t="s">
        <v>302</v>
      </c>
      <c r="C21" s="5" t="s">
        <v>80</v>
      </c>
      <c r="D21" s="5" t="s">
        <v>298</v>
      </c>
      <c r="E21" s="5" t="s">
        <v>13</v>
      </c>
      <c r="F21" s="5" t="s">
        <v>303</v>
      </c>
      <c r="G21" s="11">
        <v>46185</v>
      </c>
      <c r="H21" s="11"/>
      <c r="I21" s="5" t="s">
        <v>83</v>
      </c>
      <c r="J21" s="5" t="s">
        <v>304</v>
      </c>
      <c r="K21" s="5" t="s">
        <v>305</v>
      </c>
      <c r="L21" s="5" t="s">
        <v>81</v>
      </c>
      <c r="M21" s="5" t="s">
        <v>247</v>
      </c>
    </row>
    <row r="22" ht="43.5" customHeight="1" spans="1:13">
      <c r="A22" s="5" t="s">
        <v>306</v>
      </c>
      <c r="B22" s="5" t="s">
        <v>307</v>
      </c>
      <c r="C22" s="5" t="s">
        <v>189</v>
      </c>
      <c r="D22" s="5" t="s">
        <v>308</v>
      </c>
      <c r="E22" s="5" t="s">
        <v>191</v>
      </c>
      <c r="F22" s="5" t="s">
        <v>309</v>
      </c>
      <c r="G22" s="11">
        <v>46185</v>
      </c>
      <c r="H22" s="11"/>
      <c r="I22" s="5" t="s">
        <v>151</v>
      </c>
      <c r="J22" s="5" t="s">
        <v>310</v>
      </c>
      <c r="K22" s="5" t="s">
        <v>187</v>
      </c>
      <c r="L22" s="5" t="s">
        <v>190</v>
      </c>
      <c r="M22" s="5" t="s">
        <v>247</v>
      </c>
    </row>
    <row r="23" ht="43.5" customHeight="1" spans="1:13">
      <c r="A23" s="5" t="s">
        <v>201</v>
      </c>
      <c r="B23" s="5" t="s">
        <v>311</v>
      </c>
      <c r="C23" s="5" t="s">
        <v>198</v>
      </c>
      <c r="D23" s="5" t="s">
        <v>308</v>
      </c>
      <c r="E23" s="5" t="s">
        <v>62</v>
      </c>
      <c r="F23" s="5" t="s">
        <v>312</v>
      </c>
      <c r="G23" s="11">
        <v>46185</v>
      </c>
      <c r="H23" s="11">
        <v>46185</v>
      </c>
      <c r="I23" s="5" t="s">
        <v>63</v>
      </c>
      <c r="J23" s="5" t="s">
        <v>313</v>
      </c>
      <c r="K23" s="5" t="s">
        <v>196</v>
      </c>
      <c r="L23" s="5" t="s">
        <v>199</v>
      </c>
      <c r="M23" s="5" t="s">
        <v>247</v>
      </c>
    </row>
    <row r="24" ht="43.5" customHeight="1" spans="1:13">
      <c r="A24" s="5" t="s">
        <v>210</v>
      </c>
      <c r="B24" s="5" t="s">
        <v>205</v>
      </c>
      <c r="C24" s="5" t="s">
        <v>206</v>
      </c>
      <c r="D24" s="5" t="s">
        <v>308</v>
      </c>
      <c r="E24" s="5" t="s">
        <v>22</v>
      </c>
      <c r="F24" s="5" t="s">
        <v>314</v>
      </c>
      <c r="G24" s="11">
        <v>46185</v>
      </c>
      <c r="H24" s="11"/>
      <c r="I24" s="5" t="s">
        <v>83</v>
      </c>
      <c r="J24" s="5" t="s">
        <v>315</v>
      </c>
      <c r="K24" s="5" t="s">
        <v>316</v>
      </c>
      <c r="L24" s="5" t="s">
        <v>317</v>
      </c>
      <c r="M24" s="5" t="s">
        <v>247</v>
      </c>
    </row>
    <row r="25" ht="43.5" customHeight="1" spans="1:13">
      <c r="A25" s="5" t="s">
        <v>218</v>
      </c>
      <c r="B25" s="5" t="s">
        <v>318</v>
      </c>
      <c r="C25" s="5" t="s">
        <v>215</v>
      </c>
      <c r="D25" s="5" t="s">
        <v>308</v>
      </c>
      <c r="E25" s="5" t="s">
        <v>22</v>
      </c>
      <c r="F25" s="5" t="s">
        <v>319</v>
      </c>
      <c r="G25" s="11">
        <v>46185</v>
      </c>
      <c r="H25" s="11">
        <v>46185</v>
      </c>
      <c r="I25" s="5" t="s">
        <v>63</v>
      </c>
      <c r="J25" s="5" t="s">
        <v>320</v>
      </c>
      <c r="K25" s="5" t="s">
        <v>213</v>
      </c>
      <c r="L25" s="5" t="s">
        <v>216</v>
      </c>
      <c r="M25" s="5" t="s">
        <v>247</v>
      </c>
    </row>
    <row r="26" ht="43.5" customHeight="1" spans="1:13">
      <c r="A26" s="5" t="s">
        <v>321</v>
      </c>
      <c r="B26" s="5" t="s">
        <v>322</v>
      </c>
      <c r="C26" s="5" t="s">
        <v>206</v>
      </c>
      <c r="D26" s="5" t="s">
        <v>323</v>
      </c>
      <c r="E26" s="5" t="s">
        <v>62</v>
      </c>
      <c r="F26" s="5" t="s">
        <v>324</v>
      </c>
      <c r="G26" s="11">
        <v>46185</v>
      </c>
      <c r="H26" s="11"/>
      <c r="I26" s="5" t="s">
        <v>151</v>
      </c>
      <c r="J26" s="5" t="s">
        <v>325</v>
      </c>
      <c r="K26" s="5" t="s">
        <v>221</v>
      </c>
      <c r="L26" s="5" t="s">
        <v>223</v>
      </c>
      <c r="M26" s="5" t="s">
        <v>247</v>
      </c>
    </row>
  </sheetData>
  <mergeCells count="2">
    <mergeCell ref="A1:M1"/>
    <mergeCell ref="A2:M2"/>
  </mergeCells>
  <conditionalFormatting sqref="I5:I26">
    <cfRule type="containsText" dxfId="3" priority="1" operator="between" text="验收通过">
      <formula>NOT(ISERROR(SEARCH("验收通过",I5)))</formula>
    </cfRule>
    <cfRule type="containsText" dxfId="4" priority="2" operator="between" text="待验收">
      <formula>NOT(ISERROR(SEARCH("待验收",I5)))</formula>
    </cfRule>
    <cfRule type="containsText" dxfId="5" priority="3" operator="between" text="待优化">
      <formula>NOT(ISERROR(SEARCH("待优化",I5)))</formula>
    </cfRule>
    <cfRule type="containsText" dxfId="6" priority="4" operator="between" text="联调中">
      <formula>NOT(ISERROR(SEARCH("联调中",I5)))</formula>
    </cfRule>
    <cfRule type="containsText" dxfId="7" priority="5" operator="between" text="待开发">
      <formula>NOT(ISERROR(SEARCH("待开发",I5)))</formula>
    </cfRule>
    <cfRule type="containsText" dxfId="0" priority="6" operator="between" text="验收不通过">
      <formula>NOT(ISERROR(SEARCH("验收不通过",I5)))</formula>
    </cfRule>
  </conditionalFormatting>
  <dataValidations count="2">
    <dataValidation type="list" sqref="D5:D26">
      <formula1>"功能交付物,代码交付物,文档交付物,配置交付物"</formula1>
    </dataValidation>
    <dataValidation type="list" sqref="I5:I26">
      <formula1>"待交付,开发中,联调中,待验收,待优化,验收通过,验收不通过,已取消"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workbookViewId="0">
      <selection activeCell="A1" sqref="A1:N1"/>
    </sheetView>
  </sheetViews>
  <sheetFormatPr defaultColWidth="9" defaultRowHeight="13.8"/>
  <cols>
    <col min="1" max="1" width="16.25" customWidth="1"/>
    <col min="2" max="2" width="14.3833333333333" customWidth="1"/>
    <col min="3" max="3" width="5" customWidth="1"/>
    <col min="4" max="4" width="13.75" customWidth="1"/>
    <col min="5" max="5" width="9.38333333333333" customWidth="1"/>
    <col min="6" max="6" width="10" customWidth="1"/>
    <col min="7" max="7" width="3.75" customWidth="1"/>
    <col min="8" max="8" width="16.25" customWidth="1"/>
    <col min="9" max="9" width="9.38333333333333" customWidth="1"/>
    <col min="10" max="10" width="12.5" customWidth="1"/>
    <col min="11" max="11" width="37.5" customWidth="1"/>
    <col min="12" max="12" width="3.13333333333333" customWidth="1"/>
    <col min="13" max="14" width="11.8833333333333" customWidth="1"/>
  </cols>
  <sheetData>
    <row r="1" ht="25.8" spans="1:14">
      <c r="A1" s="1" t="s">
        <v>326</v>
      </c>
      <c r="B1" s="1" t="s">
        <v>326</v>
      </c>
      <c r="C1" s="1" t="s">
        <v>326</v>
      </c>
      <c r="D1" s="1" t="s">
        <v>326</v>
      </c>
      <c r="E1" s="1" t="s">
        <v>326</v>
      </c>
      <c r="F1" s="1" t="s">
        <v>326</v>
      </c>
      <c r="G1" s="1" t="s">
        <v>326</v>
      </c>
      <c r="H1" s="1" t="s">
        <v>326</v>
      </c>
      <c r="I1" s="1" t="s">
        <v>326</v>
      </c>
      <c r="J1" s="1" t="s">
        <v>326</v>
      </c>
      <c r="K1" s="1" t="s">
        <v>326</v>
      </c>
      <c r="L1" s="1" t="s">
        <v>326</v>
      </c>
      <c r="M1" s="1" t="s">
        <v>326</v>
      </c>
      <c r="N1" s="1" t="s">
        <v>326</v>
      </c>
    </row>
    <row r="2" ht="15" spans="1:14">
      <c r="A2" s="2" t="s">
        <v>327</v>
      </c>
      <c r="B2" s="2" t="s">
        <v>327</v>
      </c>
      <c r="C2" s="2" t="s">
        <v>327</v>
      </c>
      <c r="D2" s="2" t="s">
        <v>327</v>
      </c>
      <c r="E2" s="2" t="s">
        <v>327</v>
      </c>
      <c r="F2" s="2" t="s">
        <v>327</v>
      </c>
      <c r="G2" s="2" t="s">
        <v>327</v>
      </c>
      <c r="H2" s="2" t="s">
        <v>327</v>
      </c>
      <c r="I2" s="2" t="s">
        <v>327</v>
      </c>
      <c r="J2" s="2" t="s">
        <v>327</v>
      </c>
      <c r="K2" s="2" t="s">
        <v>327</v>
      </c>
      <c r="L2" s="2" t="s">
        <v>327</v>
      </c>
      <c r="M2" s="2" t="s">
        <v>327</v>
      </c>
      <c r="N2" s="2" t="s">
        <v>327</v>
      </c>
    </row>
    <row r="3" ht="15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1" customHeight="1" spans="1:14">
      <c r="A4" s="6" t="s">
        <v>328</v>
      </c>
      <c r="B4" s="6" t="s">
        <v>329</v>
      </c>
      <c r="C4" s="3"/>
      <c r="D4" s="6" t="s">
        <v>330</v>
      </c>
      <c r="E4" s="6" t="s">
        <v>331</v>
      </c>
      <c r="F4" s="6" t="s">
        <v>332</v>
      </c>
      <c r="G4" s="3"/>
      <c r="H4" s="6" t="s">
        <v>333</v>
      </c>
      <c r="I4" s="6" t="s">
        <v>334</v>
      </c>
      <c r="J4" s="6" t="s">
        <v>335</v>
      </c>
      <c r="K4" s="6" t="s">
        <v>336</v>
      </c>
      <c r="L4" s="3"/>
      <c r="M4" s="3"/>
      <c r="N4" s="3"/>
    </row>
    <row r="5" ht="21" customHeight="1" spans="1:14">
      <c r="A5" s="5" t="s">
        <v>337</v>
      </c>
      <c r="B5" s="5">
        <f>COUNTA(冲刺待办列表!$A$5:$A$24)</f>
        <v>20</v>
      </c>
      <c r="C5" s="3"/>
      <c r="D5" s="5" t="s">
        <v>63</v>
      </c>
      <c r="E5" s="5">
        <f>COUNTIF(冲刺待办列表!$L$5:$L$24,D5)</f>
        <v>7</v>
      </c>
      <c r="F5" s="7">
        <f t="shared" ref="F5:F11" si="0">IF($E$12=0,0,E5/$E$12)</f>
        <v>0.35</v>
      </c>
      <c r="G5" s="3"/>
      <c r="H5" s="5" t="s">
        <v>57</v>
      </c>
      <c r="I5" s="5">
        <f>COUNTIF(冲刺待办列表!$C$5:$C$24,H5)</f>
        <v>1</v>
      </c>
      <c r="J5" s="8">
        <f>IF(I5=0,0,AVERAGEIF(冲刺待办列表!$C$5:$C$24,H5,冲刺待办列表!$M$5:$M$24))</f>
        <v>1</v>
      </c>
      <c r="K5" s="5" t="s">
        <v>338</v>
      </c>
      <c r="L5" s="3"/>
      <c r="M5" s="3"/>
      <c r="N5" s="3"/>
    </row>
    <row r="6" ht="21" customHeight="1" spans="1:14">
      <c r="A6" s="5" t="s">
        <v>339</v>
      </c>
      <c r="B6" s="5">
        <f>COUNTIF(冲刺待办列表!$F$5:$F$24,"Must")</f>
        <v>13</v>
      </c>
      <c r="C6" s="3"/>
      <c r="D6" s="5" t="s">
        <v>83</v>
      </c>
      <c r="E6" s="5">
        <f>COUNTIF(冲刺待办列表!$L$5:$L$24,D6)</f>
        <v>3</v>
      </c>
      <c r="F6" s="7">
        <f t="shared" si="0"/>
        <v>0.15</v>
      </c>
      <c r="G6" s="3"/>
      <c r="H6" s="5" t="s">
        <v>71</v>
      </c>
      <c r="I6" s="5">
        <f>COUNTIF(冲刺待办列表!$C$5:$C$24,H6)</f>
        <v>1</v>
      </c>
      <c r="J6" s="8">
        <f>IF(I6=0,0,AVERAGEIF(冲刺待办列表!$C$5:$C$24,H6,冲刺待办列表!$M$5:$M$24))</f>
        <v>1</v>
      </c>
      <c r="K6" s="5" t="s">
        <v>340</v>
      </c>
      <c r="L6" s="3"/>
      <c r="M6" s="3"/>
      <c r="N6" s="3"/>
    </row>
    <row r="7" ht="21" customHeight="1" spans="1:14">
      <c r="A7" s="5" t="s">
        <v>341</v>
      </c>
      <c r="B7" s="5">
        <f>COUNTIF(冲刺待办列表!$L$5:$L$24,"验收通过")</f>
        <v>7</v>
      </c>
      <c r="C7" s="3"/>
      <c r="D7" s="5" t="s">
        <v>100</v>
      </c>
      <c r="E7" s="5">
        <f>COUNTIF(冲刺待办列表!$L$5:$L$24,D7)</f>
        <v>5</v>
      </c>
      <c r="F7" s="7">
        <f t="shared" si="0"/>
        <v>0.25</v>
      </c>
      <c r="G7" s="3"/>
      <c r="H7" s="5" t="s">
        <v>80</v>
      </c>
      <c r="I7" s="5">
        <f>COUNTIF(冲刺待办列表!$C$5:$C$24,H7)</f>
        <v>1</v>
      </c>
      <c r="J7" s="8">
        <f>IF(I7=0,0,AVERAGEIF(冲刺待办列表!$C$5:$C$24,H7,冲刺待办列表!$M$5:$M$24))</f>
        <v>0.9</v>
      </c>
      <c r="K7" s="5" t="s">
        <v>342</v>
      </c>
      <c r="L7" s="3"/>
      <c r="M7" s="3"/>
      <c r="N7" s="3"/>
    </row>
    <row r="8" ht="21" customHeight="1" spans="1:14">
      <c r="A8" s="5" t="s">
        <v>343</v>
      </c>
      <c r="B8" s="5">
        <f>COUNTIF(冲刺待办列表!$L$5:$L$24,"待优化")+COUNTIF(冲刺待办列表!$L$5:$L$24,"联调中")</f>
        <v>9</v>
      </c>
      <c r="C8" s="3"/>
      <c r="D8" s="5" t="s">
        <v>151</v>
      </c>
      <c r="E8" s="5">
        <f>COUNTIF(冲刺待办列表!$L$5:$L$24,D8)</f>
        <v>4</v>
      </c>
      <c r="F8" s="7">
        <f t="shared" si="0"/>
        <v>0.2</v>
      </c>
      <c r="G8" s="3"/>
      <c r="H8" s="5" t="s">
        <v>90</v>
      </c>
      <c r="I8" s="5">
        <f>COUNTIF(冲刺待办列表!$C$5:$C$24,H8)</f>
        <v>2</v>
      </c>
      <c r="J8" s="8">
        <f>IF(I8=0,0,AVERAGEIF(冲刺待办列表!$C$5:$C$24,H8,冲刺待办列表!$M$5:$M$24))</f>
        <v>0.9</v>
      </c>
      <c r="K8" s="5" t="s">
        <v>344</v>
      </c>
      <c r="L8" s="3"/>
      <c r="M8" s="3"/>
      <c r="N8" s="3"/>
    </row>
    <row r="9" ht="21" customHeight="1" spans="1:14">
      <c r="A9" s="5" t="s">
        <v>345</v>
      </c>
      <c r="B9" s="5">
        <f>SUM(冲刺待办列表!$G$5:$G$24)</f>
        <v>109</v>
      </c>
      <c r="C9" s="3"/>
      <c r="D9" s="5" t="s">
        <v>167</v>
      </c>
      <c r="E9" s="5">
        <f>COUNTIF(冲刺待办列表!$L$5:$L$24,D9)</f>
        <v>1</v>
      </c>
      <c r="F9" s="7">
        <f t="shared" si="0"/>
        <v>0.05</v>
      </c>
      <c r="G9" s="3"/>
      <c r="H9" s="5" t="s">
        <v>107</v>
      </c>
      <c r="I9" s="5">
        <f>COUNTIF(冲刺待办列表!$C$5:$C$24,H9)</f>
        <v>6</v>
      </c>
      <c r="J9" s="8">
        <f>IF(I9=0,0,AVERAGEIF(冲刺待办列表!$C$5:$C$24,H9,冲刺待办列表!$M$5:$M$24))</f>
        <v>0.625</v>
      </c>
      <c r="K9" s="5" t="s">
        <v>346</v>
      </c>
      <c r="L9" s="3"/>
      <c r="M9" s="3"/>
      <c r="N9" s="3"/>
    </row>
    <row r="10" ht="21" customHeight="1" spans="1:14">
      <c r="A10" s="5" t="s">
        <v>347</v>
      </c>
      <c r="B10" s="5">
        <f>SUMPRODUCT(冲刺待办列表!$G$5:$G$24,冲刺待办列表!$M$5:$M$24)</f>
        <v>91.75</v>
      </c>
      <c r="C10" s="3"/>
      <c r="D10" s="5" t="s">
        <v>348</v>
      </c>
      <c r="E10" s="5">
        <f>COUNTIF(冲刺待办列表!$L$5:$L$24,D10)</f>
        <v>0</v>
      </c>
      <c r="F10" s="7">
        <f t="shared" si="0"/>
        <v>0</v>
      </c>
      <c r="G10" s="3"/>
      <c r="H10" s="5" t="s">
        <v>125</v>
      </c>
      <c r="I10" s="5">
        <f>COUNTIF(冲刺待办列表!$C$5:$C$24,H10)</f>
        <v>1</v>
      </c>
      <c r="J10" s="8">
        <f>IF(I10=0,0,AVERAGEIF(冲刺待办列表!$C$5:$C$24,H10,冲刺待办列表!$M$5:$M$24))</f>
        <v>0.95</v>
      </c>
      <c r="K10" s="5" t="s">
        <v>349</v>
      </c>
      <c r="L10" s="3"/>
      <c r="M10" s="3"/>
      <c r="N10" s="3"/>
    </row>
    <row r="11" ht="21" customHeight="1" spans="1:14">
      <c r="A11" s="5" t="s">
        <v>350</v>
      </c>
      <c r="B11" s="7">
        <f>B7/B5</f>
        <v>0.35</v>
      </c>
      <c r="C11" s="3"/>
      <c r="D11" s="5" t="s">
        <v>351</v>
      </c>
      <c r="E11" s="5">
        <f>COUNTIF(冲刺待办列表!$L$5:$L$24,D11)</f>
        <v>0</v>
      </c>
      <c r="F11" s="7">
        <f t="shared" si="0"/>
        <v>0</v>
      </c>
      <c r="G11" s="3"/>
      <c r="H11" s="5" t="s">
        <v>134</v>
      </c>
      <c r="I11" s="5">
        <f>COUNTIF(冲刺待办列表!$C$5:$C$24,H11)</f>
        <v>1</v>
      </c>
      <c r="J11" s="8">
        <f>IF(I11=0,0,AVERAGEIF(冲刺待办列表!$C$5:$C$24,H11,冲刺待办列表!$M$5:$M$24))</f>
        <v>0.85</v>
      </c>
      <c r="K11" s="5" t="s">
        <v>352</v>
      </c>
      <c r="L11" s="3"/>
      <c r="M11" s="3"/>
      <c r="N11" s="3"/>
    </row>
    <row r="12" ht="21" customHeight="1" spans="1:14">
      <c r="A12" s="3"/>
      <c r="B12" s="3"/>
      <c r="C12" s="3"/>
      <c r="D12" s="5" t="s">
        <v>353</v>
      </c>
      <c r="E12" s="5">
        <f>SUM(E5:E11)</f>
        <v>20</v>
      </c>
      <c r="F12" s="7">
        <f>SUM(F5:F11)</f>
        <v>1</v>
      </c>
      <c r="G12" s="3"/>
      <c r="H12" s="5" t="s">
        <v>142</v>
      </c>
      <c r="I12" s="5">
        <f>COUNTIF(冲刺待办列表!$C$5:$C$24,H12)</f>
        <v>1</v>
      </c>
      <c r="J12" s="8">
        <f>IF(I12=0,0,AVERAGEIF(冲刺待办列表!$C$5:$C$24,H12,冲刺待办列表!$M$5:$M$24))</f>
        <v>1</v>
      </c>
      <c r="K12" s="5" t="s">
        <v>354</v>
      </c>
      <c r="L12" s="3"/>
      <c r="M12" s="3"/>
      <c r="N12" s="3"/>
    </row>
    <row r="13" ht="21" customHeight="1" spans="1:14">
      <c r="A13" s="3"/>
      <c r="B13" s="3"/>
      <c r="C13" s="3"/>
      <c r="D13" s="3"/>
      <c r="E13" s="3"/>
      <c r="F13" s="3"/>
      <c r="G13" s="3"/>
      <c r="H13" s="5" t="s">
        <v>206</v>
      </c>
      <c r="I13" s="5">
        <f>COUNTIF(冲刺待办列表!$C$5:$C$24,H13)</f>
        <v>2</v>
      </c>
      <c r="J13" s="8">
        <f>IF(I13=0,0,AVERAGEIF(冲刺待办列表!$C$5:$C$24,H13,冲刺待办列表!$M$5:$M$24))</f>
        <v>0.825</v>
      </c>
      <c r="K13" s="5" t="s">
        <v>355</v>
      </c>
      <c r="L13" s="3"/>
      <c r="M13" s="3"/>
      <c r="N13" s="3"/>
    </row>
    <row r="14" ht="15.6" spans="1:14">
      <c r="A14" s="9" t="s">
        <v>356</v>
      </c>
      <c r="B14" s="9" t="s">
        <v>356</v>
      </c>
      <c r="C14" s="9" t="s">
        <v>356</v>
      </c>
      <c r="D14" s="9" t="s">
        <v>356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34.5" customHeight="1" spans="1:14">
      <c r="A15" s="10" t="s">
        <v>357</v>
      </c>
      <c r="B15" s="10" t="s">
        <v>358</v>
      </c>
      <c r="C15" s="10" t="s">
        <v>358</v>
      </c>
      <c r="D15" s="10" t="s">
        <v>358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34.5" customHeight="1" spans="1:14">
      <c r="A16" s="10" t="s">
        <v>359</v>
      </c>
      <c r="B16" s="10" t="s">
        <v>360</v>
      </c>
      <c r="C16" s="10" t="s">
        <v>360</v>
      </c>
      <c r="D16" s="10" t="s">
        <v>360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34.5" customHeight="1" spans="1:14">
      <c r="A17" s="10" t="s">
        <v>361</v>
      </c>
      <c r="B17" s="10" t="s">
        <v>362</v>
      </c>
      <c r="C17" s="10" t="s">
        <v>362</v>
      </c>
      <c r="D17" s="10" t="s">
        <v>362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34.5" customHeight="1" spans="1:14">
      <c r="A18" s="10" t="s">
        <v>363</v>
      </c>
      <c r="B18" s="10" t="s">
        <v>364</v>
      </c>
      <c r="C18" s="10" t="s">
        <v>364</v>
      </c>
      <c r="D18" s="10" t="s">
        <v>364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34.5" customHeight="1" spans="1:14">
      <c r="A19" s="10" t="s">
        <v>365</v>
      </c>
      <c r="B19" s="10" t="s">
        <v>366</v>
      </c>
      <c r="C19" s="10" t="s">
        <v>366</v>
      </c>
      <c r="D19" s="10" t="s">
        <v>366</v>
      </c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mergeCells count="8">
    <mergeCell ref="A1:N1"/>
    <mergeCell ref="A2:N2"/>
    <mergeCell ref="A14:D14"/>
    <mergeCell ref="B15:D15"/>
    <mergeCell ref="B16:D16"/>
    <mergeCell ref="B17:D17"/>
    <mergeCell ref="B18:D18"/>
    <mergeCell ref="B19:D19"/>
  </mergeCells>
  <conditionalFormatting sqref="D5:D11">
    <cfRule type="containsText" dxfId="3" priority="1" operator="between" text="验收通过">
      <formula>NOT(ISERROR(SEARCH("验收通过",D5)))</formula>
    </cfRule>
    <cfRule type="containsText" dxfId="4" priority="2" operator="between" text="待验收">
      <formula>NOT(ISERROR(SEARCH("待验收",D5)))</formula>
    </cfRule>
    <cfRule type="containsText" dxfId="5" priority="3" operator="between" text="待优化">
      <formula>NOT(ISERROR(SEARCH("待优化",D5)))</formula>
    </cfRule>
    <cfRule type="containsText" dxfId="6" priority="4" operator="between" text="联调中">
      <formula>NOT(ISERROR(SEARCH("联调中",D5)))</formula>
    </cfRule>
    <cfRule type="containsText" dxfId="7" priority="5" operator="between" text="待开发">
      <formula>NOT(ISERROR(SEARCH("待开发",D5)))</formula>
    </cfRule>
    <cfRule type="containsText" dxfId="0" priority="6" operator="between" text="验收不通过">
      <formula>NOT(ISERROR(SEARCH("验收不通过",D5)))</formula>
    </cfRule>
  </conditionalFormatting>
  <conditionalFormatting sqref="J5:J13">
    <cfRule type="dataBar" priority="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{82b357c2-aa41-4a96-8efb-f85dadb81a1d}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b357c2-aa41-4a96-8efb-f85dadb81a1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J5:J13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topLeftCell="A7" workbookViewId="0">
      <selection activeCell="I8" sqref="I8"/>
    </sheetView>
  </sheetViews>
  <sheetFormatPr defaultColWidth="9" defaultRowHeight="13.8" outlineLevelCol="5"/>
  <cols>
    <col min="1" max="1" width="11.8833333333333" customWidth="1"/>
    <col min="2" max="2" width="16.25" customWidth="1"/>
    <col min="3" max="3" width="32.5" customWidth="1"/>
    <col min="4" max="4" width="21.25" customWidth="1"/>
    <col min="5" max="5" width="13.75" customWidth="1"/>
    <col min="6" max="6" width="32.5" customWidth="1"/>
  </cols>
  <sheetData>
    <row r="1" ht="25.8" spans="1:6">
      <c r="A1" s="1" t="s">
        <v>367</v>
      </c>
      <c r="B1" s="1" t="s">
        <v>367</v>
      </c>
      <c r="C1" s="1" t="s">
        <v>367</v>
      </c>
      <c r="D1" s="1" t="s">
        <v>367</v>
      </c>
      <c r="E1" s="1" t="s">
        <v>367</v>
      </c>
      <c r="F1" s="1" t="s">
        <v>367</v>
      </c>
    </row>
    <row r="2" ht="15" spans="1:6">
      <c r="A2" s="2" t="s">
        <v>368</v>
      </c>
      <c r="B2" s="2" t="s">
        <v>368</v>
      </c>
      <c r="C2" s="2" t="s">
        <v>368</v>
      </c>
      <c r="D2" s="2" t="s">
        <v>368</v>
      </c>
      <c r="E2" s="2" t="s">
        <v>368</v>
      </c>
      <c r="F2" s="2" t="s">
        <v>368</v>
      </c>
    </row>
    <row r="3" ht="15" spans="1:6">
      <c r="A3" s="3"/>
      <c r="B3" s="3"/>
      <c r="C3" s="3"/>
      <c r="D3" s="3"/>
      <c r="E3" s="3"/>
      <c r="F3" s="3"/>
    </row>
    <row r="4" ht="15.6" spans="1:6">
      <c r="A4" s="4" t="s">
        <v>369</v>
      </c>
      <c r="B4" s="4" t="s">
        <v>370</v>
      </c>
      <c r="C4" s="4" t="s">
        <v>371</v>
      </c>
      <c r="D4" s="4" t="s">
        <v>372</v>
      </c>
      <c r="E4" s="4" t="s">
        <v>45</v>
      </c>
      <c r="F4" s="4" t="s">
        <v>373</v>
      </c>
    </row>
    <row r="5" ht="34.5" customHeight="1" spans="1:6">
      <c r="A5" s="5" t="s">
        <v>374</v>
      </c>
      <c r="B5" s="5" t="s">
        <v>38</v>
      </c>
      <c r="C5" s="5" t="s">
        <v>375</v>
      </c>
      <c r="D5" s="5" t="s">
        <v>88</v>
      </c>
      <c r="E5" s="5" t="s">
        <v>376</v>
      </c>
      <c r="F5" s="5" t="s">
        <v>377</v>
      </c>
    </row>
    <row r="6" ht="34.5" customHeight="1" spans="1:6">
      <c r="A6" s="5" t="s">
        <v>374</v>
      </c>
      <c r="B6" s="5" t="s">
        <v>40</v>
      </c>
      <c r="C6" s="5" t="s">
        <v>378</v>
      </c>
      <c r="D6" s="5" t="s">
        <v>90</v>
      </c>
      <c r="E6" s="5" t="s">
        <v>379</v>
      </c>
      <c r="F6" s="5" t="s">
        <v>380</v>
      </c>
    </row>
    <row r="7" ht="34.5" customHeight="1" spans="1:6">
      <c r="A7" s="5" t="s">
        <v>381</v>
      </c>
      <c r="B7" s="5" t="s">
        <v>42</v>
      </c>
      <c r="C7" s="5" t="s">
        <v>382</v>
      </c>
      <c r="D7" s="5" t="s">
        <v>59</v>
      </c>
      <c r="E7" s="5" t="s">
        <v>383</v>
      </c>
      <c r="F7" s="5" t="s">
        <v>384</v>
      </c>
    </row>
    <row r="8" ht="34.5" customHeight="1" spans="1:6">
      <c r="A8" s="5" t="s">
        <v>381</v>
      </c>
      <c r="B8" s="5" t="s">
        <v>43</v>
      </c>
      <c r="C8" s="5" t="s">
        <v>385</v>
      </c>
      <c r="D8" s="5" t="s">
        <v>60</v>
      </c>
      <c r="E8" s="5" t="s">
        <v>383</v>
      </c>
      <c r="F8" s="5" t="s">
        <v>386</v>
      </c>
    </row>
    <row r="9" ht="34.5" customHeight="1" spans="1:6">
      <c r="A9" s="5" t="s">
        <v>387</v>
      </c>
      <c r="B9" s="5" t="s">
        <v>49</v>
      </c>
      <c r="C9" s="5" t="s">
        <v>388</v>
      </c>
      <c r="D9" s="5" t="s">
        <v>151</v>
      </c>
      <c r="E9" s="5" t="s">
        <v>45</v>
      </c>
      <c r="F9" s="5" t="s">
        <v>389</v>
      </c>
    </row>
    <row r="10" ht="34.5" customHeight="1" spans="1:6">
      <c r="A10" s="5" t="s">
        <v>387</v>
      </c>
      <c r="B10" s="5" t="s">
        <v>50</v>
      </c>
      <c r="C10" s="5" t="s">
        <v>390</v>
      </c>
      <c r="D10" s="5" t="s">
        <v>391</v>
      </c>
      <c r="E10" s="5" t="s">
        <v>45</v>
      </c>
      <c r="F10" s="5" t="s">
        <v>392</v>
      </c>
    </row>
    <row r="11" ht="34.5" customHeight="1" spans="1:6">
      <c r="A11" s="5" t="s">
        <v>393</v>
      </c>
      <c r="B11" s="5" t="s">
        <v>51</v>
      </c>
      <c r="C11" s="5" t="s">
        <v>394</v>
      </c>
      <c r="D11" s="5" t="s">
        <v>395</v>
      </c>
      <c r="E11" s="5" t="s">
        <v>396</v>
      </c>
      <c r="F11" s="5" t="s">
        <v>397</v>
      </c>
    </row>
    <row r="12" ht="34.5" customHeight="1" spans="1:6">
      <c r="A12" s="5" t="s">
        <v>398</v>
      </c>
      <c r="B12" s="5" t="s">
        <v>52</v>
      </c>
      <c r="C12" s="5" t="s">
        <v>399</v>
      </c>
      <c r="D12" s="5" t="s">
        <v>256</v>
      </c>
      <c r="E12" s="5" t="s">
        <v>400</v>
      </c>
      <c r="F12" s="5" t="s">
        <v>401</v>
      </c>
    </row>
    <row r="13" ht="34.5" customHeight="1" spans="1:6">
      <c r="A13" s="5" t="s">
        <v>402</v>
      </c>
      <c r="B13" s="5" t="s">
        <v>53</v>
      </c>
      <c r="C13" s="5" t="s">
        <v>403</v>
      </c>
      <c r="D13" s="5" t="s">
        <v>404</v>
      </c>
      <c r="E13" s="5" t="s">
        <v>45</v>
      </c>
      <c r="F13" s="5" t="s">
        <v>405</v>
      </c>
    </row>
    <row r="14" ht="34.5" customHeight="1" spans="1:6">
      <c r="A14" s="5" t="s">
        <v>406</v>
      </c>
      <c r="B14" s="5" t="s">
        <v>407</v>
      </c>
      <c r="C14" s="5" t="s">
        <v>408</v>
      </c>
      <c r="D14" s="5" t="s">
        <v>409</v>
      </c>
      <c r="E14" s="5" t="s">
        <v>208</v>
      </c>
      <c r="F14" s="5" t="s">
        <v>410</v>
      </c>
    </row>
    <row r="15" ht="34.5" customHeight="1" spans="1:6">
      <c r="A15" s="5" t="s">
        <v>406</v>
      </c>
      <c r="B15" s="5" t="s">
        <v>411</v>
      </c>
      <c r="C15" s="5" t="s">
        <v>412</v>
      </c>
      <c r="D15" s="5" t="s">
        <v>413</v>
      </c>
      <c r="E15" s="5" t="s">
        <v>18</v>
      </c>
      <c r="F15" s="5" t="s">
        <v>414</v>
      </c>
    </row>
    <row r="16" ht="34.5" customHeight="1" spans="1:6">
      <c r="A16" s="5" t="s">
        <v>406</v>
      </c>
      <c r="B16" s="5" t="s">
        <v>415</v>
      </c>
      <c r="C16" s="5" t="s">
        <v>416</v>
      </c>
      <c r="D16" s="5" t="s">
        <v>417</v>
      </c>
      <c r="E16" s="5" t="s">
        <v>22</v>
      </c>
      <c r="F16" s="5" t="s">
        <v>418</v>
      </c>
    </row>
    <row r="17" ht="34.5" customHeight="1" spans="1:6">
      <c r="A17" s="5" t="s">
        <v>419</v>
      </c>
      <c r="B17" s="5" t="s">
        <v>63</v>
      </c>
      <c r="C17" s="5" t="s">
        <v>420</v>
      </c>
      <c r="D17" s="5" t="s">
        <v>421</v>
      </c>
      <c r="E17" s="5" t="s">
        <v>422</v>
      </c>
      <c r="F17" s="5" t="s">
        <v>423</v>
      </c>
    </row>
    <row r="18" ht="34.5" customHeight="1" spans="1:6">
      <c r="A18" s="5" t="s">
        <v>419</v>
      </c>
      <c r="B18" s="5" t="s">
        <v>100</v>
      </c>
      <c r="C18" s="5" t="s">
        <v>424</v>
      </c>
      <c r="D18" s="5" t="s">
        <v>425</v>
      </c>
      <c r="E18" s="5" t="s">
        <v>45</v>
      </c>
      <c r="F18" s="5" t="s">
        <v>426</v>
      </c>
    </row>
    <row r="19" ht="34.5" customHeight="1" spans="1:6">
      <c r="A19" s="5" t="s">
        <v>419</v>
      </c>
      <c r="B19" s="5" t="s">
        <v>151</v>
      </c>
      <c r="C19" s="5" t="s">
        <v>427</v>
      </c>
      <c r="D19" s="5" t="s">
        <v>428</v>
      </c>
      <c r="E19" s="5" t="s">
        <v>45</v>
      </c>
      <c r="F19" s="5" t="s">
        <v>429</v>
      </c>
    </row>
    <row r="20" ht="34.5" customHeight="1" spans="1:6">
      <c r="A20" s="5" t="s">
        <v>419</v>
      </c>
      <c r="B20" s="5" t="s">
        <v>167</v>
      </c>
      <c r="C20" s="5" t="s">
        <v>430</v>
      </c>
      <c r="D20" s="5" t="s">
        <v>431</v>
      </c>
      <c r="E20" s="5" t="s">
        <v>45</v>
      </c>
      <c r="F20" s="5" t="s">
        <v>432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版本信息</vt:lpstr>
      <vt:lpstr>冲刺待办列表</vt:lpstr>
      <vt:lpstr>交付物清单</vt:lpstr>
      <vt:lpstr>进度统计看板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申忠佩</cp:lastModifiedBy>
  <dcterms:created xsi:type="dcterms:W3CDTF">2026-06-14T06:57:47Z</dcterms:created>
  <dcterms:modified xsi:type="dcterms:W3CDTF">2026-06-14T12:50:56Z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9D907C3F0DFB4460B9E64A06ADDE5E77_12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